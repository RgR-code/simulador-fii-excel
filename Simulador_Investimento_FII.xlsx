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 F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1B365D"/>
      <sz val="12"/>
    </font>
    <font>
      <name val="Calibri"/>
      <sz val="11"/>
    </font>
    <font>
      <name val="Calibri"/>
      <b val="1"/>
      <sz val="11"/>
    </font>
    <font>
      <name val="Calibri"/>
      <b val="1"/>
      <color rgb="00595959"/>
      <sz val="9"/>
    </font>
    <font>
      <name val="Calibri"/>
      <b val="1"/>
      <color rgb="001B365D"/>
      <sz val="16"/>
    </font>
    <font>
      <name val="Calibri"/>
      <b val="1"/>
      <color rgb="001B365D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2F2"/>
        <bgColor rgb="00E6F2F2"/>
      </patternFill>
    </fill>
    <fill>
      <patternFill patternType="solid">
        <fgColor rgb="00FAFAFA"/>
        <bgColor rgb="00FAFAFA"/>
      </patternFill>
    </fill>
    <fill>
      <patternFill patternType="solid">
        <fgColor rgb="00F4F8F8"/>
        <bgColor rgb="00F4F8F8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0" fillId="0" borderId="2" pivotButton="0" quotePrefix="0" xfId="0"/>
    <xf numFmtId="164" fontId="7" fillId="4" borderId="2" applyAlignment="1" pivotButton="0" quotePrefix="0" xfId="0">
      <alignment horizontal="center" vertical="center"/>
    </xf>
    <xf numFmtId="10" fontId="5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3" fontId="4" fillId="0" borderId="1" pivotButton="0" quotePrefix="0" xfId="0"/>
    <xf numFmtId="0" fontId="4" fillId="5" borderId="1" applyAlignment="1" pivotButton="0" quotePrefix="0" xfId="0">
      <alignment horizontal="center"/>
    </xf>
    <xf numFmtId="164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Patrimonial: Total Investido vs. Patrimônio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'Simulador FII'!I26</f>
            </strRef>
          </tx>
          <spPr>
            <a:ln xmlns:a="http://schemas.openxmlformats.org/drawingml/2006/main" w="25000">
              <a:solidFill>
                <a:srgbClr val="0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 FII'!$A$27:$A$146</f>
            </numRef>
          </cat>
          <val>
            <numRef>
              <f>'Simulador FII'!$I$27:$I$146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showGridLines="1"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4" customWidth="1" min="10" max="10"/>
    <col width="22" customWidth="1" min="11" max="11"/>
  </cols>
  <sheetData>
    <row r="1">
      <c r="A1" s="1" t="inlineStr">
        <is>
          <t>SIMULADOR DE INVESTIMENTO EM FUNDOS IMOBILIÁRIOS (FIIs)</t>
        </is>
      </c>
    </row>
    <row r="2"/>
    <row r="3">
      <c r="A3" s="2" t="inlineStr">
        <is>
          <t>Ferramenta de Planejamento Financeiro e Projeção de Renda Passiva com Reinvestimento de Proventos</t>
        </is>
      </c>
    </row>
    <row r="5">
      <c r="A5" s="3" t="inlineStr">
        <is>
          <t>PREMISSAS DO INVESTIMENTO</t>
        </is>
      </c>
      <c r="E5" s="3" t="inlineStr">
        <is>
          <t>RESUMO DOS RESULTADOS (DASHBOARD)</t>
        </is>
      </c>
    </row>
    <row r="6">
      <c r="A6" s="4" t="inlineStr">
        <is>
          <t>Aporte Inicial (R$)</t>
        </is>
      </c>
      <c r="B6" s="5" t="n">
        <v>10000</v>
      </c>
      <c r="E6" s="6" t="inlineStr">
        <is>
          <t>TOTAL APORTADO</t>
        </is>
      </c>
      <c r="F6" s="7" t="n"/>
      <c r="G6" s="6" t="inlineStr">
        <is>
          <t>PATRIMÔNIO FINAL</t>
        </is>
      </c>
      <c r="H6" s="7" t="n"/>
      <c r="I6" s="6" t="inlineStr">
        <is>
          <t>TOTAL DIVIDENDOS</t>
        </is>
      </c>
      <c r="J6" s="7" t="n"/>
      <c r="K6" s="6" t="inlineStr">
        <is>
          <t>RENDA MENSAL FINAL</t>
        </is>
      </c>
    </row>
    <row r="7">
      <c r="A7" s="4" t="inlineStr">
        <is>
          <t>Aporte Mensal (R$)</t>
        </is>
      </c>
      <c r="B7" s="5" t="n">
        <v>1000</v>
      </c>
      <c r="E7" s="8">
        <f>B6+(B7*(B11*12))</f>
        <v/>
      </c>
      <c r="F7" s="7" t="n"/>
      <c r="G7" s="8">
        <f>I146</f>
        <v/>
      </c>
      <c r="H7" s="7" t="n"/>
      <c r="I7" s="8">
        <f>SUM(E27:E146)</f>
        <v/>
      </c>
      <c r="J7" s="7" t="n"/>
      <c r="K7" s="8">
        <f>H146</f>
        <v/>
      </c>
    </row>
    <row r="8">
      <c r="A8" s="4" t="inlineStr">
        <is>
          <t>Preço Médio por Cota (R$)</t>
        </is>
      </c>
      <c r="B8" s="5" t="n">
        <v>100</v>
      </c>
    </row>
    <row r="9">
      <c r="A9" s="4" t="inlineStr">
        <is>
          <t>Dividend Yield Mensal (%)</t>
        </is>
      </c>
      <c r="B9" s="9" t="n">
        <v>0.008</v>
      </c>
      <c r="E9" s="10">
        <f>"STATUS MAGIC NUMBER (100% ORGÂNICO): " &amp; IF(H146&gt;=B8, "ATINGIDO! (Dividendos mensais já compram +1 cota sem novos aportes)", "EM PROGRESSO (Continue aportando para atingir o Magic Number)")</f>
        <v/>
      </c>
      <c r="F9" s="11" t="n"/>
      <c r="G9" s="11" t="n"/>
      <c r="H9" s="11" t="n"/>
      <c r="I9" s="11" t="n"/>
      <c r="J9" s="11" t="n"/>
      <c r="K9" s="11" t="n"/>
    </row>
    <row r="10">
      <c r="A10" s="4" t="inlineStr">
        <is>
          <t>Valorização Anual da Cota (%)</t>
        </is>
      </c>
      <c r="B10" s="9" t="n">
        <v>0.03</v>
      </c>
      <c r="E10" s="11" t="n"/>
      <c r="F10" s="11" t="n"/>
      <c r="G10" s="11" t="n"/>
      <c r="H10" s="11" t="n"/>
      <c r="I10" s="11" t="n"/>
      <c r="J10" s="11" t="n"/>
      <c r="K10" s="11" t="n"/>
    </row>
    <row r="11">
      <c r="A11" s="4" t="inlineStr">
        <is>
          <t>Período da Simulação (Anos)</t>
        </is>
      </c>
      <c r="B11" s="12" t="n">
        <v>10</v>
      </c>
    </row>
    <row r="12">
      <c r="A12" s="4" t="inlineStr">
        <is>
          <t>Reinvestir Dividendos?</t>
        </is>
      </c>
      <c r="B12" s="13" t="inlineStr">
        <is>
          <t>SIM</t>
        </is>
      </c>
    </row>
    <row r="13">
      <c r="A13" s="3" t="inlineStr">
        <is>
          <t>PROJEÇÃO DETALHADA MÊS A MÊS</t>
        </is>
      </c>
    </row>
    <row r="26">
      <c r="A26" s="14" t="inlineStr">
        <is>
          <t>Mês</t>
        </is>
      </c>
      <c r="B26" s="14" t="inlineStr">
        <is>
          <t>Preço Cota (R$)</t>
        </is>
      </c>
      <c r="C26" s="14" t="inlineStr">
        <is>
          <t>Cotas Início</t>
        </is>
      </c>
      <c r="D26" s="14" t="inlineStr">
        <is>
          <t>Aporte Fin. (R$)</t>
        </is>
      </c>
      <c r="E26" s="14" t="inlineStr">
        <is>
          <t>Dividendos (R$)</t>
        </is>
      </c>
      <c r="F26" s="14" t="inlineStr">
        <is>
          <t>Cotas Compradas</t>
        </is>
      </c>
      <c r="G26" s="14" t="inlineStr">
        <is>
          <t>Total Cotas (Fim)</t>
        </is>
      </c>
      <c r="H26" s="14" t="inlineStr">
        <is>
          <t>Próx. Dividendo (R$)</t>
        </is>
      </c>
      <c r="I26" s="14" t="inlineStr">
        <is>
          <t>Patrimônio Total (R$)</t>
        </is>
      </c>
    </row>
    <row r="27">
      <c r="A27" s="15" t="n">
        <v>1</v>
      </c>
      <c r="B27" s="16">
        <f>$B$8</f>
        <v/>
      </c>
      <c r="C27" s="17" t="n">
        <v>0</v>
      </c>
      <c r="D27" s="16">
        <f>$B$6+$B$7</f>
        <v/>
      </c>
      <c r="E27" s="16">
        <f>C27*B27*$B$9</f>
        <v/>
      </c>
      <c r="F27" s="17">
        <f>IF($B$12="SIM", INT((D27+E27)/B27), INT(D27/B27))</f>
        <v/>
      </c>
      <c r="G27" s="17">
        <f>C27+F27</f>
        <v/>
      </c>
      <c r="H27" s="16">
        <f>G27*B27*$B$9</f>
        <v/>
      </c>
      <c r="I27" s="16">
        <f>G27*B27</f>
        <v/>
      </c>
    </row>
    <row r="28">
      <c r="A28" s="18" t="n">
        <v>2</v>
      </c>
      <c r="B28" s="19">
        <f>B27*(1+($B$10/12))</f>
        <v/>
      </c>
      <c r="C28" s="20">
        <f>G27</f>
        <v/>
      </c>
      <c r="D28" s="19">
        <f>$B$7</f>
        <v/>
      </c>
      <c r="E28" s="19">
        <f>C28*B28*$B$9</f>
        <v/>
      </c>
      <c r="F28" s="20">
        <f>IF($B$12="SIM", INT((D28+E28)/B28), INT(D28/B28))</f>
        <v/>
      </c>
      <c r="G28" s="20">
        <f>C28+F28</f>
        <v/>
      </c>
      <c r="H28" s="19">
        <f>G28*B28*$B$9</f>
        <v/>
      </c>
      <c r="I28" s="19">
        <f>G28*B28</f>
        <v/>
      </c>
    </row>
    <row r="29">
      <c r="A29" s="15" t="n">
        <v>3</v>
      </c>
      <c r="B29" s="16">
        <f>B28*(1+($B$10/12))</f>
        <v/>
      </c>
      <c r="C29" s="17">
        <f>G28</f>
        <v/>
      </c>
      <c r="D29" s="16">
        <f>$B$7</f>
        <v/>
      </c>
      <c r="E29" s="16">
        <f>C29*B29*$B$9</f>
        <v/>
      </c>
      <c r="F29" s="17">
        <f>IF($B$12="SIM", INT((D29+E29)/B29), INT(D29/B29))</f>
        <v/>
      </c>
      <c r="G29" s="17">
        <f>C29+F29</f>
        <v/>
      </c>
      <c r="H29" s="16">
        <f>G29*B29*$B$9</f>
        <v/>
      </c>
      <c r="I29" s="16">
        <f>G29*B29</f>
        <v/>
      </c>
    </row>
    <row r="30">
      <c r="A30" s="18" t="n">
        <v>4</v>
      </c>
      <c r="B30" s="19">
        <f>B29*(1+($B$10/12))</f>
        <v/>
      </c>
      <c r="C30" s="20">
        <f>G29</f>
        <v/>
      </c>
      <c r="D30" s="19">
        <f>$B$7</f>
        <v/>
      </c>
      <c r="E30" s="19">
        <f>C30*B30*$B$9</f>
        <v/>
      </c>
      <c r="F30" s="20">
        <f>IF($B$12="SIM", INT((D30+E30)/B30), INT(D30/B30))</f>
        <v/>
      </c>
      <c r="G30" s="20">
        <f>C30+F30</f>
        <v/>
      </c>
      <c r="H30" s="19">
        <f>G30*B30*$B$9</f>
        <v/>
      </c>
      <c r="I30" s="19">
        <f>G30*B30</f>
        <v/>
      </c>
    </row>
    <row r="31">
      <c r="A31" s="15" t="n">
        <v>5</v>
      </c>
      <c r="B31" s="16">
        <f>B30*(1+($B$10/12))</f>
        <v/>
      </c>
      <c r="C31" s="17">
        <f>G30</f>
        <v/>
      </c>
      <c r="D31" s="16">
        <f>$B$7</f>
        <v/>
      </c>
      <c r="E31" s="16">
        <f>C31*B31*$B$9</f>
        <v/>
      </c>
      <c r="F31" s="17">
        <f>IF($B$12="SIM", INT((D31+E31)/B31), INT(D31/B31))</f>
        <v/>
      </c>
      <c r="G31" s="17">
        <f>C31+F31</f>
        <v/>
      </c>
      <c r="H31" s="16">
        <f>G31*B31*$B$9</f>
        <v/>
      </c>
      <c r="I31" s="16">
        <f>G31*B31</f>
        <v/>
      </c>
    </row>
    <row r="32">
      <c r="A32" s="18" t="n">
        <v>6</v>
      </c>
      <c r="B32" s="19">
        <f>B31*(1+($B$10/12))</f>
        <v/>
      </c>
      <c r="C32" s="20">
        <f>G31</f>
        <v/>
      </c>
      <c r="D32" s="19">
        <f>$B$7</f>
        <v/>
      </c>
      <c r="E32" s="19">
        <f>C32*B32*$B$9</f>
        <v/>
      </c>
      <c r="F32" s="20">
        <f>IF($B$12="SIM", INT((D32+E32)/B32), INT(D32/B32))</f>
        <v/>
      </c>
      <c r="G32" s="20">
        <f>C32+F32</f>
        <v/>
      </c>
      <c r="H32" s="19">
        <f>G32*B32*$B$9</f>
        <v/>
      </c>
      <c r="I32" s="19">
        <f>G32*B32</f>
        <v/>
      </c>
    </row>
    <row r="33">
      <c r="A33" s="15" t="n">
        <v>7</v>
      </c>
      <c r="B33" s="16">
        <f>B32*(1+($B$10/12))</f>
        <v/>
      </c>
      <c r="C33" s="17">
        <f>G32</f>
        <v/>
      </c>
      <c r="D33" s="16">
        <f>$B$7</f>
        <v/>
      </c>
      <c r="E33" s="16">
        <f>C33*B33*$B$9</f>
        <v/>
      </c>
      <c r="F33" s="17">
        <f>IF($B$12="SIM", INT((D33+E33)/B33), INT(D33/B33))</f>
        <v/>
      </c>
      <c r="G33" s="17">
        <f>C33+F33</f>
        <v/>
      </c>
      <c r="H33" s="16">
        <f>G33*B33*$B$9</f>
        <v/>
      </c>
      <c r="I33" s="16">
        <f>G33*B33</f>
        <v/>
      </c>
    </row>
    <row r="34">
      <c r="A34" s="18" t="n">
        <v>8</v>
      </c>
      <c r="B34" s="19">
        <f>B33*(1+($B$10/12))</f>
        <v/>
      </c>
      <c r="C34" s="20">
        <f>G33</f>
        <v/>
      </c>
      <c r="D34" s="19">
        <f>$B$7</f>
        <v/>
      </c>
      <c r="E34" s="19">
        <f>C34*B34*$B$9</f>
        <v/>
      </c>
      <c r="F34" s="20">
        <f>IF($B$12="SIM", INT((D34+E34)/B34), INT(D34/B34))</f>
        <v/>
      </c>
      <c r="G34" s="20">
        <f>C34+F34</f>
        <v/>
      </c>
      <c r="H34" s="19">
        <f>G34*B34*$B$9</f>
        <v/>
      </c>
      <c r="I34" s="19">
        <f>G34*B34</f>
        <v/>
      </c>
    </row>
    <row r="35">
      <c r="A35" s="15" t="n">
        <v>9</v>
      </c>
      <c r="B35" s="16">
        <f>B34*(1+($B$10/12))</f>
        <v/>
      </c>
      <c r="C35" s="17">
        <f>G34</f>
        <v/>
      </c>
      <c r="D35" s="16">
        <f>$B$7</f>
        <v/>
      </c>
      <c r="E35" s="16">
        <f>C35*B35*$B$9</f>
        <v/>
      </c>
      <c r="F35" s="17">
        <f>IF($B$12="SIM", INT((D35+E35)/B35), INT(D35/B35))</f>
        <v/>
      </c>
      <c r="G35" s="17">
        <f>C35+F35</f>
        <v/>
      </c>
      <c r="H35" s="16">
        <f>G35*B35*$B$9</f>
        <v/>
      </c>
      <c r="I35" s="16">
        <f>G35*B35</f>
        <v/>
      </c>
    </row>
    <row r="36">
      <c r="A36" s="18" t="n">
        <v>10</v>
      </c>
      <c r="B36" s="19">
        <f>B35*(1+($B$10/12))</f>
        <v/>
      </c>
      <c r="C36" s="20">
        <f>G35</f>
        <v/>
      </c>
      <c r="D36" s="19">
        <f>$B$7</f>
        <v/>
      </c>
      <c r="E36" s="19">
        <f>C36*B36*$B$9</f>
        <v/>
      </c>
      <c r="F36" s="20">
        <f>IF($B$12="SIM", INT((D36+E36)/B36), INT(D36/B36))</f>
        <v/>
      </c>
      <c r="G36" s="20">
        <f>C36+F36</f>
        <v/>
      </c>
      <c r="H36" s="19">
        <f>G36*B36*$B$9</f>
        <v/>
      </c>
      <c r="I36" s="19">
        <f>G36*B36</f>
        <v/>
      </c>
    </row>
    <row r="37">
      <c r="A37" s="15" t="n">
        <v>11</v>
      </c>
      <c r="B37" s="16">
        <f>B36*(1+($B$10/12))</f>
        <v/>
      </c>
      <c r="C37" s="17">
        <f>G36</f>
        <v/>
      </c>
      <c r="D37" s="16">
        <f>$B$7</f>
        <v/>
      </c>
      <c r="E37" s="16">
        <f>C37*B37*$B$9</f>
        <v/>
      </c>
      <c r="F37" s="17">
        <f>IF($B$12="SIM", INT((D37+E37)/B37), INT(D37/B37))</f>
        <v/>
      </c>
      <c r="G37" s="17">
        <f>C37+F37</f>
        <v/>
      </c>
      <c r="H37" s="16">
        <f>G37*B37*$B$9</f>
        <v/>
      </c>
      <c r="I37" s="16">
        <f>G37*B37</f>
        <v/>
      </c>
    </row>
    <row r="38">
      <c r="A38" s="18" t="n">
        <v>12</v>
      </c>
      <c r="B38" s="19">
        <f>B37*(1+($B$10/12))</f>
        <v/>
      </c>
      <c r="C38" s="20">
        <f>G37</f>
        <v/>
      </c>
      <c r="D38" s="19">
        <f>$B$7</f>
        <v/>
      </c>
      <c r="E38" s="19">
        <f>C38*B38*$B$9</f>
        <v/>
      </c>
      <c r="F38" s="20">
        <f>IF($B$12="SIM", INT((D38+E38)/B38), INT(D38/B38))</f>
        <v/>
      </c>
      <c r="G38" s="20">
        <f>C38+F38</f>
        <v/>
      </c>
      <c r="H38" s="19">
        <f>G38*B38*$B$9</f>
        <v/>
      </c>
      <c r="I38" s="19">
        <f>G38*B38</f>
        <v/>
      </c>
    </row>
    <row r="39">
      <c r="A39" s="15" t="n">
        <v>13</v>
      </c>
      <c r="B39" s="16">
        <f>B38*(1+($B$10/12))</f>
        <v/>
      </c>
      <c r="C39" s="17">
        <f>G38</f>
        <v/>
      </c>
      <c r="D39" s="16">
        <f>$B$7</f>
        <v/>
      </c>
      <c r="E39" s="16">
        <f>C39*B39*$B$9</f>
        <v/>
      </c>
      <c r="F39" s="17">
        <f>IF($B$12="SIM", INT((D39+E39)/B39), INT(D39/B39))</f>
        <v/>
      </c>
      <c r="G39" s="17">
        <f>C39+F39</f>
        <v/>
      </c>
      <c r="H39" s="16">
        <f>G39*B39*$B$9</f>
        <v/>
      </c>
      <c r="I39" s="16">
        <f>G39*B39</f>
        <v/>
      </c>
    </row>
    <row r="40">
      <c r="A40" s="18" t="n">
        <v>14</v>
      </c>
      <c r="B40" s="19">
        <f>B39*(1+($B$10/12))</f>
        <v/>
      </c>
      <c r="C40" s="20">
        <f>G39</f>
        <v/>
      </c>
      <c r="D40" s="19">
        <f>$B$7</f>
        <v/>
      </c>
      <c r="E40" s="19">
        <f>C40*B40*$B$9</f>
        <v/>
      </c>
      <c r="F40" s="20">
        <f>IF($B$12="SIM", INT((D40+E40)/B40), INT(D40/B40))</f>
        <v/>
      </c>
      <c r="G40" s="20">
        <f>C40+F40</f>
        <v/>
      </c>
      <c r="H40" s="19">
        <f>G40*B40*$B$9</f>
        <v/>
      </c>
      <c r="I40" s="19">
        <f>G40*B40</f>
        <v/>
      </c>
    </row>
    <row r="41">
      <c r="A41" s="15" t="n">
        <v>15</v>
      </c>
      <c r="B41" s="16">
        <f>B40*(1+($B$10/12))</f>
        <v/>
      </c>
      <c r="C41" s="17">
        <f>G40</f>
        <v/>
      </c>
      <c r="D41" s="16">
        <f>$B$7</f>
        <v/>
      </c>
      <c r="E41" s="16">
        <f>C41*B41*$B$9</f>
        <v/>
      </c>
      <c r="F41" s="17">
        <f>IF($B$12="SIM", INT((D41+E41)/B41), INT(D41/B41))</f>
        <v/>
      </c>
      <c r="G41" s="17">
        <f>C41+F41</f>
        <v/>
      </c>
      <c r="H41" s="16">
        <f>G41*B41*$B$9</f>
        <v/>
      </c>
      <c r="I41" s="16">
        <f>G41*B41</f>
        <v/>
      </c>
    </row>
    <row r="42">
      <c r="A42" s="18" t="n">
        <v>16</v>
      </c>
      <c r="B42" s="19">
        <f>B41*(1+($B$10/12))</f>
        <v/>
      </c>
      <c r="C42" s="20">
        <f>G41</f>
        <v/>
      </c>
      <c r="D42" s="19">
        <f>$B$7</f>
        <v/>
      </c>
      <c r="E42" s="19">
        <f>C42*B42*$B$9</f>
        <v/>
      </c>
      <c r="F42" s="20">
        <f>IF($B$12="SIM", INT((D42+E42)/B42), INT(D42/B42))</f>
        <v/>
      </c>
      <c r="G42" s="20">
        <f>C42+F42</f>
        <v/>
      </c>
      <c r="H42" s="19">
        <f>G42*B42*$B$9</f>
        <v/>
      </c>
      <c r="I42" s="19">
        <f>G42*B42</f>
        <v/>
      </c>
    </row>
    <row r="43">
      <c r="A43" s="15" t="n">
        <v>17</v>
      </c>
      <c r="B43" s="16">
        <f>B42*(1+($B$10/12))</f>
        <v/>
      </c>
      <c r="C43" s="17">
        <f>G42</f>
        <v/>
      </c>
      <c r="D43" s="16">
        <f>$B$7</f>
        <v/>
      </c>
      <c r="E43" s="16">
        <f>C43*B43*$B$9</f>
        <v/>
      </c>
      <c r="F43" s="17">
        <f>IF($B$12="SIM", INT((D43+E43)/B43), INT(D43/B43))</f>
        <v/>
      </c>
      <c r="G43" s="17">
        <f>C43+F43</f>
        <v/>
      </c>
      <c r="H43" s="16">
        <f>G43*B43*$B$9</f>
        <v/>
      </c>
      <c r="I43" s="16">
        <f>G43*B43</f>
        <v/>
      </c>
    </row>
    <row r="44">
      <c r="A44" s="18" t="n">
        <v>18</v>
      </c>
      <c r="B44" s="19">
        <f>B43*(1+($B$10/12))</f>
        <v/>
      </c>
      <c r="C44" s="20">
        <f>G43</f>
        <v/>
      </c>
      <c r="D44" s="19">
        <f>$B$7</f>
        <v/>
      </c>
      <c r="E44" s="19">
        <f>C44*B44*$B$9</f>
        <v/>
      </c>
      <c r="F44" s="20">
        <f>IF($B$12="SIM", INT((D44+E44)/B44), INT(D44/B44))</f>
        <v/>
      </c>
      <c r="G44" s="20">
        <f>C44+F44</f>
        <v/>
      </c>
      <c r="H44" s="19">
        <f>G44*B44*$B$9</f>
        <v/>
      </c>
      <c r="I44" s="19">
        <f>G44*B44</f>
        <v/>
      </c>
    </row>
    <row r="45">
      <c r="A45" s="15" t="n">
        <v>19</v>
      </c>
      <c r="B45" s="16">
        <f>B44*(1+($B$10/12))</f>
        <v/>
      </c>
      <c r="C45" s="17">
        <f>G44</f>
        <v/>
      </c>
      <c r="D45" s="16">
        <f>$B$7</f>
        <v/>
      </c>
      <c r="E45" s="16">
        <f>C45*B45*$B$9</f>
        <v/>
      </c>
      <c r="F45" s="17">
        <f>IF($B$12="SIM", INT((D45+E45)/B45), INT(D45/B45))</f>
        <v/>
      </c>
      <c r="G45" s="17">
        <f>C45+F45</f>
        <v/>
      </c>
      <c r="H45" s="16">
        <f>G45*B45*$B$9</f>
        <v/>
      </c>
      <c r="I45" s="16">
        <f>G45*B45</f>
        <v/>
      </c>
    </row>
    <row r="46">
      <c r="A46" s="18" t="n">
        <v>20</v>
      </c>
      <c r="B46" s="19">
        <f>B45*(1+($B$10/12))</f>
        <v/>
      </c>
      <c r="C46" s="20">
        <f>G45</f>
        <v/>
      </c>
      <c r="D46" s="19">
        <f>$B$7</f>
        <v/>
      </c>
      <c r="E46" s="19">
        <f>C46*B46*$B$9</f>
        <v/>
      </c>
      <c r="F46" s="20">
        <f>IF($B$12="SIM", INT((D46+E46)/B46), INT(D46/B46))</f>
        <v/>
      </c>
      <c r="G46" s="20">
        <f>C46+F46</f>
        <v/>
      </c>
      <c r="H46" s="19">
        <f>G46*B46*$B$9</f>
        <v/>
      </c>
      <c r="I46" s="19">
        <f>G46*B46</f>
        <v/>
      </c>
    </row>
    <row r="47">
      <c r="A47" s="15" t="n">
        <v>21</v>
      </c>
      <c r="B47" s="16">
        <f>B46*(1+($B$10/12))</f>
        <v/>
      </c>
      <c r="C47" s="17">
        <f>G46</f>
        <v/>
      </c>
      <c r="D47" s="16">
        <f>$B$7</f>
        <v/>
      </c>
      <c r="E47" s="16">
        <f>C47*B47*$B$9</f>
        <v/>
      </c>
      <c r="F47" s="17">
        <f>IF($B$12="SIM", INT((D47+E47)/B47), INT(D47/B47))</f>
        <v/>
      </c>
      <c r="G47" s="17">
        <f>C47+F47</f>
        <v/>
      </c>
      <c r="H47" s="16">
        <f>G47*B47*$B$9</f>
        <v/>
      </c>
      <c r="I47" s="16">
        <f>G47*B47</f>
        <v/>
      </c>
    </row>
    <row r="48">
      <c r="A48" s="18" t="n">
        <v>22</v>
      </c>
      <c r="B48" s="19">
        <f>B47*(1+($B$10/12))</f>
        <v/>
      </c>
      <c r="C48" s="20">
        <f>G47</f>
        <v/>
      </c>
      <c r="D48" s="19">
        <f>$B$7</f>
        <v/>
      </c>
      <c r="E48" s="19">
        <f>C48*B48*$B$9</f>
        <v/>
      </c>
      <c r="F48" s="20">
        <f>IF($B$12="SIM", INT((D48+E48)/B48), INT(D48/B48))</f>
        <v/>
      </c>
      <c r="G48" s="20">
        <f>C48+F48</f>
        <v/>
      </c>
      <c r="H48" s="19">
        <f>G48*B48*$B$9</f>
        <v/>
      </c>
      <c r="I48" s="19">
        <f>G48*B48</f>
        <v/>
      </c>
    </row>
    <row r="49">
      <c r="A49" s="15" t="n">
        <v>23</v>
      </c>
      <c r="B49" s="16">
        <f>B48*(1+($B$10/12))</f>
        <v/>
      </c>
      <c r="C49" s="17">
        <f>G48</f>
        <v/>
      </c>
      <c r="D49" s="16">
        <f>$B$7</f>
        <v/>
      </c>
      <c r="E49" s="16">
        <f>C49*B49*$B$9</f>
        <v/>
      </c>
      <c r="F49" s="17">
        <f>IF($B$12="SIM", INT((D49+E49)/B49), INT(D49/B49))</f>
        <v/>
      </c>
      <c r="G49" s="17">
        <f>C49+F49</f>
        <v/>
      </c>
      <c r="H49" s="16">
        <f>G49*B49*$B$9</f>
        <v/>
      </c>
      <c r="I49" s="16">
        <f>G49*B49</f>
        <v/>
      </c>
    </row>
    <row r="50">
      <c r="A50" s="18" t="n">
        <v>24</v>
      </c>
      <c r="B50" s="19">
        <f>B49*(1+($B$10/12))</f>
        <v/>
      </c>
      <c r="C50" s="20">
        <f>G49</f>
        <v/>
      </c>
      <c r="D50" s="19">
        <f>$B$7</f>
        <v/>
      </c>
      <c r="E50" s="19">
        <f>C50*B50*$B$9</f>
        <v/>
      </c>
      <c r="F50" s="20">
        <f>IF($B$12="SIM", INT((D50+E50)/B50), INT(D50/B50))</f>
        <v/>
      </c>
      <c r="G50" s="20">
        <f>C50+F50</f>
        <v/>
      </c>
      <c r="H50" s="19">
        <f>G50*B50*$B$9</f>
        <v/>
      </c>
      <c r="I50" s="19">
        <f>G50*B50</f>
        <v/>
      </c>
    </row>
    <row r="51">
      <c r="A51" s="15" t="n">
        <v>25</v>
      </c>
      <c r="B51" s="16">
        <f>B50*(1+($B$10/12))</f>
        <v/>
      </c>
      <c r="C51" s="17">
        <f>G50</f>
        <v/>
      </c>
      <c r="D51" s="16">
        <f>$B$7</f>
        <v/>
      </c>
      <c r="E51" s="16">
        <f>C51*B51*$B$9</f>
        <v/>
      </c>
      <c r="F51" s="17">
        <f>IF($B$12="SIM", INT((D51+E51)/B51), INT(D51/B51))</f>
        <v/>
      </c>
      <c r="G51" s="17">
        <f>C51+F51</f>
        <v/>
      </c>
      <c r="H51" s="16">
        <f>G51*B51*$B$9</f>
        <v/>
      </c>
      <c r="I51" s="16">
        <f>G51*B51</f>
        <v/>
      </c>
    </row>
    <row r="52">
      <c r="A52" s="18" t="n">
        <v>26</v>
      </c>
      <c r="B52" s="19">
        <f>B51*(1+($B$10/12))</f>
        <v/>
      </c>
      <c r="C52" s="20">
        <f>G51</f>
        <v/>
      </c>
      <c r="D52" s="19">
        <f>$B$7</f>
        <v/>
      </c>
      <c r="E52" s="19">
        <f>C52*B52*$B$9</f>
        <v/>
      </c>
      <c r="F52" s="20">
        <f>IF($B$12="SIM", INT((D52+E52)/B52), INT(D52/B52))</f>
        <v/>
      </c>
      <c r="G52" s="20">
        <f>C52+F52</f>
        <v/>
      </c>
      <c r="H52" s="19">
        <f>G52*B52*$B$9</f>
        <v/>
      </c>
      <c r="I52" s="19">
        <f>G52*B52</f>
        <v/>
      </c>
    </row>
    <row r="53">
      <c r="A53" s="15" t="n">
        <v>27</v>
      </c>
      <c r="B53" s="16">
        <f>B52*(1+($B$10/12))</f>
        <v/>
      </c>
      <c r="C53" s="17">
        <f>G52</f>
        <v/>
      </c>
      <c r="D53" s="16">
        <f>$B$7</f>
        <v/>
      </c>
      <c r="E53" s="16">
        <f>C53*B53*$B$9</f>
        <v/>
      </c>
      <c r="F53" s="17">
        <f>IF($B$12="SIM", INT((D53+E53)/B53), INT(D53/B53))</f>
        <v/>
      </c>
      <c r="G53" s="17">
        <f>C53+F53</f>
        <v/>
      </c>
      <c r="H53" s="16">
        <f>G53*B53*$B$9</f>
        <v/>
      </c>
      <c r="I53" s="16">
        <f>G53*B53</f>
        <v/>
      </c>
    </row>
    <row r="54">
      <c r="A54" s="18" t="n">
        <v>28</v>
      </c>
      <c r="B54" s="19">
        <f>B53*(1+($B$10/12))</f>
        <v/>
      </c>
      <c r="C54" s="20">
        <f>G53</f>
        <v/>
      </c>
      <c r="D54" s="19">
        <f>$B$7</f>
        <v/>
      </c>
      <c r="E54" s="19">
        <f>C54*B54*$B$9</f>
        <v/>
      </c>
      <c r="F54" s="20">
        <f>IF($B$12="SIM", INT((D54+E54)/B54), INT(D54/B54))</f>
        <v/>
      </c>
      <c r="G54" s="20">
        <f>C54+F54</f>
        <v/>
      </c>
      <c r="H54" s="19">
        <f>G54*B54*$B$9</f>
        <v/>
      </c>
      <c r="I54" s="19">
        <f>G54*B54</f>
        <v/>
      </c>
    </row>
    <row r="55">
      <c r="A55" s="15" t="n">
        <v>29</v>
      </c>
      <c r="B55" s="16">
        <f>B54*(1+($B$10/12))</f>
        <v/>
      </c>
      <c r="C55" s="17">
        <f>G54</f>
        <v/>
      </c>
      <c r="D55" s="16">
        <f>$B$7</f>
        <v/>
      </c>
      <c r="E55" s="16">
        <f>C55*B55*$B$9</f>
        <v/>
      </c>
      <c r="F55" s="17">
        <f>IF($B$12="SIM", INT((D55+E55)/B55), INT(D55/B55))</f>
        <v/>
      </c>
      <c r="G55" s="17">
        <f>C55+F55</f>
        <v/>
      </c>
      <c r="H55" s="16">
        <f>G55*B55*$B$9</f>
        <v/>
      </c>
      <c r="I55" s="16">
        <f>G55*B55</f>
        <v/>
      </c>
    </row>
    <row r="56">
      <c r="A56" s="18" t="n">
        <v>30</v>
      </c>
      <c r="B56" s="19">
        <f>B55*(1+($B$10/12))</f>
        <v/>
      </c>
      <c r="C56" s="20">
        <f>G55</f>
        <v/>
      </c>
      <c r="D56" s="19">
        <f>$B$7</f>
        <v/>
      </c>
      <c r="E56" s="19">
        <f>C56*B56*$B$9</f>
        <v/>
      </c>
      <c r="F56" s="20">
        <f>IF($B$12="SIM", INT((D56+E56)/B56), INT(D56/B56))</f>
        <v/>
      </c>
      <c r="G56" s="20">
        <f>C56+F56</f>
        <v/>
      </c>
      <c r="H56" s="19">
        <f>G56*B56*$B$9</f>
        <v/>
      </c>
      <c r="I56" s="19">
        <f>G56*B56</f>
        <v/>
      </c>
    </row>
    <row r="57">
      <c r="A57" s="15" t="n">
        <v>31</v>
      </c>
      <c r="B57" s="16">
        <f>B56*(1+($B$10/12))</f>
        <v/>
      </c>
      <c r="C57" s="17">
        <f>G56</f>
        <v/>
      </c>
      <c r="D57" s="16">
        <f>$B$7</f>
        <v/>
      </c>
      <c r="E57" s="16">
        <f>C57*B57*$B$9</f>
        <v/>
      </c>
      <c r="F57" s="17">
        <f>IF($B$12="SIM", INT((D57+E57)/B57), INT(D57/B57))</f>
        <v/>
      </c>
      <c r="G57" s="17">
        <f>C57+F57</f>
        <v/>
      </c>
      <c r="H57" s="16">
        <f>G57*B57*$B$9</f>
        <v/>
      </c>
      <c r="I57" s="16">
        <f>G57*B57</f>
        <v/>
      </c>
    </row>
    <row r="58">
      <c r="A58" s="18" t="n">
        <v>32</v>
      </c>
      <c r="B58" s="19">
        <f>B57*(1+($B$10/12))</f>
        <v/>
      </c>
      <c r="C58" s="20">
        <f>G57</f>
        <v/>
      </c>
      <c r="D58" s="19">
        <f>$B$7</f>
        <v/>
      </c>
      <c r="E58" s="19">
        <f>C58*B58*$B$9</f>
        <v/>
      </c>
      <c r="F58" s="20">
        <f>IF($B$12="SIM", INT((D58+E58)/B58), INT(D58/B58))</f>
        <v/>
      </c>
      <c r="G58" s="20">
        <f>C58+F58</f>
        <v/>
      </c>
      <c r="H58" s="19">
        <f>G58*B58*$B$9</f>
        <v/>
      </c>
      <c r="I58" s="19">
        <f>G58*B58</f>
        <v/>
      </c>
    </row>
    <row r="59">
      <c r="A59" s="15" t="n">
        <v>33</v>
      </c>
      <c r="B59" s="16">
        <f>B58*(1+($B$10/12))</f>
        <v/>
      </c>
      <c r="C59" s="17">
        <f>G58</f>
        <v/>
      </c>
      <c r="D59" s="16">
        <f>$B$7</f>
        <v/>
      </c>
      <c r="E59" s="16">
        <f>C59*B59*$B$9</f>
        <v/>
      </c>
      <c r="F59" s="17">
        <f>IF($B$12="SIM", INT((D59+E59)/B59), INT(D59/B59))</f>
        <v/>
      </c>
      <c r="G59" s="17">
        <f>C59+F59</f>
        <v/>
      </c>
      <c r="H59" s="16">
        <f>G59*B59*$B$9</f>
        <v/>
      </c>
      <c r="I59" s="16">
        <f>G59*B59</f>
        <v/>
      </c>
    </row>
    <row r="60">
      <c r="A60" s="18" t="n">
        <v>34</v>
      </c>
      <c r="B60" s="19">
        <f>B59*(1+($B$10/12))</f>
        <v/>
      </c>
      <c r="C60" s="20">
        <f>G59</f>
        <v/>
      </c>
      <c r="D60" s="19">
        <f>$B$7</f>
        <v/>
      </c>
      <c r="E60" s="19">
        <f>C60*B60*$B$9</f>
        <v/>
      </c>
      <c r="F60" s="20">
        <f>IF($B$12="SIM", INT((D60+E60)/B60), INT(D60/B60))</f>
        <v/>
      </c>
      <c r="G60" s="20">
        <f>C60+F60</f>
        <v/>
      </c>
      <c r="H60" s="19">
        <f>G60*B60*$B$9</f>
        <v/>
      </c>
      <c r="I60" s="19">
        <f>G60*B60</f>
        <v/>
      </c>
    </row>
    <row r="61">
      <c r="A61" s="15" t="n">
        <v>35</v>
      </c>
      <c r="B61" s="16">
        <f>B60*(1+($B$10/12))</f>
        <v/>
      </c>
      <c r="C61" s="17">
        <f>G60</f>
        <v/>
      </c>
      <c r="D61" s="16">
        <f>$B$7</f>
        <v/>
      </c>
      <c r="E61" s="16">
        <f>C61*B61*$B$9</f>
        <v/>
      </c>
      <c r="F61" s="17">
        <f>IF($B$12="SIM", INT((D61+E61)/B61), INT(D61/B61))</f>
        <v/>
      </c>
      <c r="G61" s="17">
        <f>C61+F61</f>
        <v/>
      </c>
      <c r="H61" s="16">
        <f>G61*B61*$B$9</f>
        <v/>
      </c>
      <c r="I61" s="16">
        <f>G61*B61</f>
        <v/>
      </c>
    </row>
    <row r="62">
      <c r="A62" s="18" t="n">
        <v>36</v>
      </c>
      <c r="B62" s="19">
        <f>B61*(1+($B$10/12))</f>
        <v/>
      </c>
      <c r="C62" s="20">
        <f>G61</f>
        <v/>
      </c>
      <c r="D62" s="19">
        <f>$B$7</f>
        <v/>
      </c>
      <c r="E62" s="19">
        <f>C62*B62*$B$9</f>
        <v/>
      </c>
      <c r="F62" s="20">
        <f>IF($B$12="SIM", INT((D62+E62)/B62), INT(D62/B62))</f>
        <v/>
      </c>
      <c r="G62" s="20">
        <f>C62+F62</f>
        <v/>
      </c>
      <c r="H62" s="19">
        <f>G62*B62*$B$9</f>
        <v/>
      </c>
      <c r="I62" s="19">
        <f>G62*B62</f>
        <v/>
      </c>
    </row>
    <row r="63">
      <c r="A63" s="15" t="n">
        <v>37</v>
      </c>
      <c r="B63" s="16">
        <f>B62*(1+($B$10/12))</f>
        <v/>
      </c>
      <c r="C63" s="17">
        <f>G62</f>
        <v/>
      </c>
      <c r="D63" s="16">
        <f>$B$7</f>
        <v/>
      </c>
      <c r="E63" s="16">
        <f>C63*B63*$B$9</f>
        <v/>
      </c>
      <c r="F63" s="17">
        <f>IF($B$12="SIM", INT((D63+E63)/B63), INT(D63/B63))</f>
        <v/>
      </c>
      <c r="G63" s="17">
        <f>C63+F63</f>
        <v/>
      </c>
      <c r="H63" s="16">
        <f>G63*B63*$B$9</f>
        <v/>
      </c>
      <c r="I63" s="16">
        <f>G63*B63</f>
        <v/>
      </c>
    </row>
    <row r="64">
      <c r="A64" s="18" t="n">
        <v>38</v>
      </c>
      <c r="B64" s="19">
        <f>B63*(1+($B$10/12))</f>
        <v/>
      </c>
      <c r="C64" s="20">
        <f>G63</f>
        <v/>
      </c>
      <c r="D64" s="19">
        <f>$B$7</f>
        <v/>
      </c>
      <c r="E64" s="19">
        <f>C64*B64*$B$9</f>
        <v/>
      </c>
      <c r="F64" s="20">
        <f>IF($B$12="SIM", INT((D64+E64)/B64), INT(D64/B64))</f>
        <v/>
      </c>
      <c r="G64" s="20">
        <f>C64+F64</f>
        <v/>
      </c>
      <c r="H64" s="19">
        <f>G64*B64*$B$9</f>
        <v/>
      </c>
      <c r="I64" s="19">
        <f>G64*B64</f>
        <v/>
      </c>
    </row>
    <row r="65">
      <c r="A65" s="15" t="n">
        <v>39</v>
      </c>
      <c r="B65" s="16">
        <f>B64*(1+($B$10/12))</f>
        <v/>
      </c>
      <c r="C65" s="17">
        <f>G64</f>
        <v/>
      </c>
      <c r="D65" s="16">
        <f>$B$7</f>
        <v/>
      </c>
      <c r="E65" s="16">
        <f>C65*B65*$B$9</f>
        <v/>
      </c>
      <c r="F65" s="17">
        <f>IF($B$12="SIM", INT((D65+E65)/B65), INT(D65/B65))</f>
        <v/>
      </c>
      <c r="G65" s="17">
        <f>C65+F65</f>
        <v/>
      </c>
      <c r="H65" s="16">
        <f>G65*B65*$B$9</f>
        <v/>
      </c>
      <c r="I65" s="16">
        <f>G65*B65</f>
        <v/>
      </c>
    </row>
    <row r="66">
      <c r="A66" s="18" t="n">
        <v>40</v>
      </c>
      <c r="B66" s="19">
        <f>B65*(1+($B$10/12))</f>
        <v/>
      </c>
      <c r="C66" s="20">
        <f>G65</f>
        <v/>
      </c>
      <c r="D66" s="19">
        <f>$B$7</f>
        <v/>
      </c>
      <c r="E66" s="19">
        <f>C66*B66*$B$9</f>
        <v/>
      </c>
      <c r="F66" s="20">
        <f>IF($B$12="SIM", INT((D66+E66)/B66), INT(D66/B66))</f>
        <v/>
      </c>
      <c r="G66" s="20">
        <f>C66+F66</f>
        <v/>
      </c>
      <c r="H66" s="19">
        <f>G66*B66*$B$9</f>
        <v/>
      </c>
      <c r="I66" s="19">
        <f>G66*B66</f>
        <v/>
      </c>
    </row>
    <row r="67">
      <c r="A67" s="15" t="n">
        <v>41</v>
      </c>
      <c r="B67" s="16">
        <f>B66*(1+($B$10/12))</f>
        <v/>
      </c>
      <c r="C67" s="17">
        <f>G66</f>
        <v/>
      </c>
      <c r="D67" s="16">
        <f>$B$7</f>
        <v/>
      </c>
      <c r="E67" s="16">
        <f>C67*B67*$B$9</f>
        <v/>
      </c>
      <c r="F67" s="17">
        <f>IF($B$12="SIM", INT((D67+E67)/B67), INT(D67/B67))</f>
        <v/>
      </c>
      <c r="G67" s="17">
        <f>C67+F67</f>
        <v/>
      </c>
      <c r="H67" s="16">
        <f>G67*B67*$B$9</f>
        <v/>
      </c>
      <c r="I67" s="16">
        <f>G67*B67</f>
        <v/>
      </c>
    </row>
    <row r="68">
      <c r="A68" s="18" t="n">
        <v>42</v>
      </c>
      <c r="B68" s="19">
        <f>B67*(1+($B$10/12))</f>
        <v/>
      </c>
      <c r="C68" s="20">
        <f>G67</f>
        <v/>
      </c>
      <c r="D68" s="19">
        <f>$B$7</f>
        <v/>
      </c>
      <c r="E68" s="19">
        <f>C68*B68*$B$9</f>
        <v/>
      </c>
      <c r="F68" s="20">
        <f>IF($B$12="SIM", INT((D68+E68)/B68), INT(D68/B68))</f>
        <v/>
      </c>
      <c r="G68" s="20">
        <f>C68+F68</f>
        <v/>
      </c>
      <c r="H68" s="19">
        <f>G68*B68*$B$9</f>
        <v/>
      </c>
      <c r="I68" s="19">
        <f>G68*B68</f>
        <v/>
      </c>
    </row>
    <row r="69">
      <c r="A69" s="15" t="n">
        <v>43</v>
      </c>
      <c r="B69" s="16">
        <f>B68*(1+($B$10/12))</f>
        <v/>
      </c>
      <c r="C69" s="17">
        <f>G68</f>
        <v/>
      </c>
      <c r="D69" s="16">
        <f>$B$7</f>
        <v/>
      </c>
      <c r="E69" s="16">
        <f>C69*B69*$B$9</f>
        <v/>
      </c>
      <c r="F69" s="17">
        <f>IF($B$12="SIM", INT((D69+E69)/B69), INT(D69/B69))</f>
        <v/>
      </c>
      <c r="G69" s="17">
        <f>C69+F69</f>
        <v/>
      </c>
      <c r="H69" s="16">
        <f>G69*B69*$B$9</f>
        <v/>
      </c>
      <c r="I69" s="16">
        <f>G69*B69</f>
        <v/>
      </c>
    </row>
    <row r="70">
      <c r="A70" s="18" t="n">
        <v>44</v>
      </c>
      <c r="B70" s="19">
        <f>B69*(1+($B$10/12))</f>
        <v/>
      </c>
      <c r="C70" s="20">
        <f>G69</f>
        <v/>
      </c>
      <c r="D70" s="19">
        <f>$B$7</f>
        <v/>
      </c>
      <c r="E70" s="19">
        <f>C70*B70*$B$9</f>
        <v/>
      </c>
      <c r="F70" s="20">
        <f>IF($B$12="SIM", INT((D70+E70)/B70), INT(D70/B70))</f>
        <v/>
      </c>
      <c r="G70" s="20">
        <f>C70+F70</f>
        <v/>
      </c>
      <c r="H70" s="19">
        <f>G70*B70*$B$9</f>
        <v/>
      </c>
      <c r="I70" s="19">
        <f>G70*B70</f>
        <v/>
      </c>
    </row>
    <row r="71">
      <c r="A71" s="15" t="n">
        <v>45</v>
      </c>
      <c r="B71" s="16">
        <f>B70*(1+($B$10/12))</f>
        <v/>
      </c>
      <c r="C71" s="17">
        <f>G70</f>
        <v/>
      </c>
      <c r="D71" s="16">
        <f>$B$7</f>
        <v/>
      </c>
      <c r="E71" s="16">
        <f>C71*B71*$B$9</f>
        <v/>
      </c>
      <c r="F71" s="17">
        <f>IF($B$12="SIM", INT((D71+E71)/B71), INT(D71/B71))</f>
        <v/>
      </c>
      <c r="G71" s="17">
        <f>C71+F71</f>
        <v/>
      </c>
      <c r="H71" s="16">
        <f>G71*B71*$B$9</f>
        <v/>
      </c>
      <c r="I71" s="16">
        <f>G71*B71</f>
        <v/>
      </c>
    </row>
    <row r="72">
      <c r="A72" s="18" t="n">
        <v>46</v>
      </c>
      <c r="B72" s="19">
        <f>B71*(1+($B$10/12))</f>
        <v/>
      </c>
      <c r="C72" s="20">
        <f>G71</f>
        <v/>
      </c>
      <c r="D72" s="19">
        <f>$B$7</f>
        <v/>
      </c>
      <c r="E72" s="19">
        <f>C72*B72*$B$9</f>
        <v/>
      </c>
      <c r="F72" s="20">
        <f>IF($B$12="SIM", INT((D72+E72)/B72), INT(D72/B72))</f>
        <v/>
      </c>
      <c r="G72" s="20">
        <f>C72+F72</f>
        <v/>
      </c>
      <c r="H72" s="19">
        <f>G72*B72*$B$9</f>
        <v/>
      </c>
      <c r="I72" s="19">
        <f>G72*B72</f>
        <v/>
      </c>
    </row>
    <row r="73">
      <c r="A73" s="15" t="n">
        <v>47</v>
      </c>
      <c r="B73" s="16">
        <f>B72*(1+($B$10/12))</f>
        <v/>
      </c>
      <c r="C73" s="17">
        <f>G72</f>
        <v/>
      </c>
      <c r="D73" s="16">
        <f>$B$7</f>
        <v/>
      </c>
      <c r="E73" s="16">
        <f>C73*B73*$B$9</f>
        <v/>
      </c>
      <c r="F73" s="17">
        <f>IF($B$12="SIM", INT((D73+E73)/B73), INT(D73/B73))</f>
        <v/>
      </c>
      <c r="G73" s="17">
        <f>C73+F73</f>
        <v/>
      </c>
      <c r="H73" s="16">
        <f>G73*B73*$B$9</f>
        <v/>
      </c>
      <c r="I73" s="16">
        <f>G73*B73</f>
        <v/>
      </c>
    </row>
    <row r="74">
      <c r="A74" s="18" t="n">
        <v>48</v>
      </c>
      <c r="B74" s="19">
        <f>B73*(1+($B$10/12))</f>
        <v/>
      </c>
      <c r="C74" s="20">
        <f>G73</f>
        <v/>
      </c>
      <c r="D74" s="19">
        <f>$B$7</f>
        <v/>
      </c>
      <c r="E74" s="19">
        <f>C74*B74*$B$9</f>
        <v/>
      </c>
      <c r="F74" s="20">
        <f>IF($B$12="SIM", INT((D74+E74)/B74), INT(D74/B74))</f>
        <v/>
      </c>
      <c r="G74" s="20">
        <f>C74+F74</f>
        <v/>
      </c>
      <c r="H74" s="19">
        <f>G74*B74*$B$9</f>
        <v/>
      </c>
      <c r="I74" s="19">
        <f>G74*B74</f>
        <v/>
      </c>
    </row>
    <row r="75">
      <c r="A75" s="15" t="n">
        <v>49</v>
      </c>
      <c r="B75" s="16">
        <f>B74*(1+($B$10/12))</f>
        <v/>
      </c>
      <c r="C75" s="17">
        <f>G74</f>
        <v/>
      </c>
      <c r="D75" s="16">
        <f>$B$7</f>
        <v/>
      </c>
      <c r="E75" s="16">
        <f>C75*B75*$B$9</f>
        <v/>
      </c>
      <c r="F75" s="17">
        <f>IF($B$12="SIM", INT((D75+E75)/B75), INT(D75/B75))</f>
        <v/>
      </c>
      <c r="G75" s="17">
        <f>C75+F75</f>
        <v/>
      </c>
      <c r="H75" s="16">
        <f>G75*B75*$B$9</f>
        <v/>
      </c>
      <c r="I75" s="16">
        <f>G75*B75</f>
        <v/>
      </c>
    </row>
    <row r="76">
      <c r="A76" s="18" t="n">
        <v>50</v>
      </c>
      <c r="B76" s="19">
        <f>B75*(1+($B$10/12))</f>
        <v/>
      </c>
      <c r="C76" s="20">
        <f>G75</f>
        <v/>
      </c>
      <c r="D76" s="19">
        <f>$B$7</f>
        <v/>
      </c>
      <c r="E76" s="19">
        <f>C76*B76*$B$9</f>
        <v/>
      </c>
      <c r="F76" s="20">
        <f>IF($B$12="SIM", INT((D76+E76)/B76), INT(D76/B76))</f>
        <v/>
      </c>
      <c r="G76" s="20">
        <f>C76+F76</f>
        <v/>
      </c>
      <c r="H76" s="19">
        <f>G76*B76*$B$9</f>
        <v/>
      </c>
      <c r="I76" s="19">
        <f>G76*B76</f>
        <v/>
      </c>
    </row>
    <row r="77">
      <c r="A77" s="15" t="n">
        <v>51</v>
      </c>
      <c r="B77" s="16">
        <f>B76*(1+($B$10/12))</f>
        <v/>
      </c>
      <c r="C77" s="17">
        <f>G76</f>
        <v/>
      </c>
      <c r="D77" s="16">
        <f>$B$7</f>
        <v/>
      </c>
      <c r="E77" s="16">
        <f>C77*B77*$B$9</f>
        <v/>
      </c>
      <c r="F77" s="17">
        <f>IF($B$12="SIM", INT((D77+E77)/B77), INT(D77/B77))</f>
        <v/>
      </c>
      <c r="G77" s="17">
        <f>C77+F77</f>
        <v/>
      </c>
      <c r="H77" s="16">
        <f>G77*B77*$B$9</f>
        <v/>
      </c>
      <c r="I77" s="16">
        <f>G77*B77</f>
        <v/>
      </c>
    </row>
    <row r="78">
      <c r="A78" s="18" t="n">
        <v>52</v>
      </c>
      <c r="B78" s="19">
        <f>B77*(1+($B$10/12))</f>
        <v/>
      </c>
      <c r="C78" s="20">
        <f>G77</f>
        <v/>
      </c>
      <c r="D78" s="19">
        <f>$B$7</f>
        <v/>
      </c>
      <c r="E78" s="19">
        <f>C78*B78*$B$9</f>
        <v/>
      </c>
      <c r="F78" s="20">
        <f>IF($B$12="SIM", INT((D78+E78)/B78), INT(D78/B78))</f>
        <v/>
      </c>
      <c r="G78" s="20">
        <f>C78+F78</f>
        <v/>
      </c>
      <c r="H78" s="19">
        <f>G78*B78*$B$9</f>
        <v/>
      </c>
      <c r="I78" s="19">
        <f>G78*B78</f>
        <v/>
      </c>
    </row>
    <row r="79">
      <c r="A79" s="15" t="n">
        <v>53</v>
      </c>
      <c r="B79" s="16">
        <f>B78*(1+($B$10/12))</f>
        <v/>
      </c>
      <c r="C79" s="17">
        <f>G78</f>
        <v/>
      </c>
      <c r="D79" s="16">
        <f>$B$7</f>
        <v/>
      </c>
      <c r="E79" s="16">
        <f>C79*B79*$B$9</f>
        <v/>
      </c>
      <c r="F79" s="17">
        <f>IF($B$12="SIM", INT((D79+E79)/B79), INT(D79/B79))</f>
        <v/>
      </c>
      <c r="G79" s="17">
        <f>C79+F79</f>
        <v/>
      </c>
      <c r="H79" s="16">
        <f>G79*B79*$B$9</f>
        <v/>
      </c>
      <c r="I79" s="16">
        <f>G79*B79</f>
        <v/>
      </c>
    </row>
    <row r="80">
      <c r="A80" s="18" t="n">
        <v>54</v>
      </c>
      <c r="B80" s="19">
        <f>B79*(1+($B$10/12))</f>
        <v/>
      </c>
      <c r="C80" s="20">
        <f>G79</f>
        <v/>
      </c>
      <c r="D80" s="19">
        <f>$B$7</f>
        <v/>
      </c>
      <c r="E80" s="19">
        <f>C80*B80*$B$9</f>
        <v/>
      </c>
      <c r="F80" s="20">
        <f>IF($B$12="SIM", INT((D80+E80)/B80), INT(D80/B80))</f>
        <v/>
      </c>
      <c r="G80" s="20">
        <f>C80+F80</f>
        <v/>
      </c>
      <c r="H80" s="19">
        <f>G80*B80*$B$9</f>
        <v/>
      </c>
      <c r="I80" s="19">
        <f>G80*B80</f>
        <v/>
      </c>
    </row>
    <row r="81">
      <c r="A81" s="15" t="n">
        <v>55</v>
      </c>
      <c r="B81" s="16">
        <f>B80*(1+($B$10/12))</f>
        <v/>
      </c>
      <c r="C81" s="17">
        <f>G80</f>
        <v/>
      </c>
      <c r="D81" s="16">
        <f>$B$7</f>
        <v/>
      </c>
      <c r="E81" s="16">
        <f>C81*B81*$B$9</f>
        <v/>
      </c>
      <c r="F81" s="17">
        <f>IF($B$12="SIM", INT((D81+E81)/B81), INT(D81/B81))</f>
        <v/>
      </c>
      <c r="G81" s="17">
        <f>C81+F81</f>
        <v/>
      </c>
      <c r="H81" s="16">
        <f>G81*B81*$B$9</f>
        <v/>
      </c>
      <c r="I81" s="16">
        <f>G81*B81</f>
        <v/>
      </c>
    </row>
    <row r="82">
      <c r="A82" s="18" t="n">
        <v>56</v>
      </c>
      <c r="B82" s="19">
        <f>B81*(1+($B$10/12))</f>
        <v/>
      </c>
      <c r="C82" s="20">
        <f>G81</f>
        <v/>
      </c>
      <c r="D82" s="19">
        <f>$B$7</f>
        <v/>
      </c>
      <c r="E82" s="19">
        <f>C82*B82*$B$9</f>
        <v/>
      </c>
      <c r="F82" s="20">
        <f>IF($B$12="SIM", INT((D82+E82)/B82), INT(D82/B82))</f>
        <v/>
      </c>
      <c r="G82" s="20">
        <f>C82+F82</f>
        <v/>
      </c>
      <c r="H82" s="19">
        <f>G82*B82*$B$9</f>
        <v/>
      </c>
      <c r="I82" s="19">
        <f>G82*B82</f>
        <v/>
      </c>
    </row>
    <row r="83">
      <c r="A83" s="15" t="n">
        <v>57</v>
      </c>
      <c r="B83" s="16">
        <f>B82*(1+($B$10/12))</f>
        <v/>
      </c>
      <c r="C83" s="17">
        <f>G82</f>
        <v/>
      </c>
      <c r="D83" s="16">
        <f>$B$7</f>
        <v/>
      </c>
      <c r="E83" s="16">
        <f>C83*B83*$B$9</f>
        <v/>
      </c>
      <c r="F83" s="17">
        <f>IF($B$12="SIM", INT((D83+E83)/B83), INT(D83/B83))</f>
        <v/>
      </c>
      <c r="G83" s="17">
        <f>C83+F83</f>
        <v/>
      </c>
      <c r="H83" s="16">
        <f>G83*B83*$B$9</f>
        <v/>
      </c>
      <c r="I83" s="16">
        <f>G83*B83</f>
        <v/>
      </c>
    </row>
    <row r="84">
      <c r="A84" s="18" t="n">
        <v>58</v>
      </c>
      <c r="B84" s="19">
        <f>B83*(1+($B$10/12))</f>
        <v/>
      </c>
      <c r="C84" s="20">
        <f>G83</f>
        <v/>
      </c>
      <c r="D84" s="19">
        <f>$B$7</f>
        <v/>
      </c>
      <c r="E84" s="19">
        <f>C84*B84*$B$9</f>
        <v/>
      </c>
      <c r="F84" s="20">
        <f>IF($B$12="SIM", INT((D84+E84)/B84), INT(D84/B84))</f>
        <v/>
      </c>
      <c r="G84" s="20">
        <f>C84+F84</f>
        <v/>
      </c>
      <c r="H84" s="19">
        <f>G84*B84*$B$9</f>
        <v/>
      </c>
      <c r="I84" s="19">
        <f>G84*B84</f>
        <v/>
      </c>
    </row>
    <row r="85">
      <c r="A85" s="15" t="n">
        <v>59</v>
      </c>
      <c r="B85" s="16">
        <f>B84*(1+($B$10/12))</f>
        <v/>
      </c>
      <c r="C85" s="17">
        <f>G84</f>
        <v/>
      </c>
      <c r="D85" s="16">
        <f>$B$7</f>
        <v/>
      </c>
      <c r="E85" s="16">
        <f>C85*B85*$B$9</f>
        <v/>
      </c>
      <c r="F85" s="17">
        <f>IF($B$12="SIM", INT((D85+E85)/B85), INT(D85/B85))</f>
        <v/>
      </c>
      <c r="G85" s="17">
        <f>C85+F85</f>
        <v/>
      </c>
      <c r="H85" s="16">
        <f>G85*B85*$B$9</f>
        <v/>
      </c>
      <c r="I85" s="16">
        <f>G85*B85</f>
        <v/>
      </c>
    </row>
    <row r="86">
      <c r="A86" s="18" t="n">
        <v>60</v>
      </c>
      <c r="B86" s="19">
        <f>B85*(1+($B$10/12))</f>
        <v/>
      </c>
      <c r="C86" s="20">
        <f>G85</f>
        <v/>
      </c>
      <c r="D86" s="19">
        <f>$B$7</f>
        <v/>
      </c>
      <c r="E86" s="19">
        <f>C86*B86*$B$9</f>
        <v/>
      </c>
      <c r="F86" s="20">
        <f>IF($B$12="SIM", INT((D86+E86)/B86), INT(D86/B86))</f>
        <v/>
      </c>
      <c r="G86" s="20">
        <f>C86+F86</f>
        <v/>
      </c>
      <c r="H86" s="19">
        <f>G86*B86*$B$9</f>
        <v/>
      </c>
      <c r="I86" s="19">
        <f>G86*B86</f>
        <v/>
      </c>
    </row>
    <row r="87">
      <c r="A87" s="15" t="n">
        <v>61</v>
      </c>
      <c r="B87" s="16">
        <f>B86*(1+($B$10/12))</f>
        <v/>
      </c>
      <c r="C87" s="17">
        <f>G86</f>
        <v/>
      </c>
      <c r="D87" s="16">
        <f>$B$7</f>
        <v/>
      </c>
      <c r="E87" s="16">
        <f>C87*B87*$B$9</f>
        <v/>
      </c>
      <c r="F87" s="17">
        <f>IF($B$12="SIM", INT((D87+E87)/B87), INT(D87/B87))</f>
        <v/>
      </c>
      <c r="G87" s="17">
        <f>C87+F87</f>
        <v/>
      </c>
      <c r="H87" s="16">
        <f>G87*B87*$B$9</f>
        <v/>
      </c>
      <c r="I87" s="16">
        <f>G87*B87</f>
        <v/>
      </c>
    </row>
    <row r="88">
      <c r="A88" s="18" t="n">
        <v>62</v>
      </c>
      <c r="B88" s="19">
        <f>B87*(1+($B$10/12))</f>
        <v/>
      </c>
      <c r="C88" s="20">
        <f>G87</f>
        <v/>
      </c>
      <c r="D88" s="19">
        <f>$B$7</f>
        <v/>
      </c>
      <c r="E88" s="19">
        <f>C88*B88*$B$9</f>
        <v/>
      </c>
      <c r="F88" s="20">
        <f>IF($B$12="SIM", INT((D88+E88)/B88), INT(D88/B88))</f>
        <v/>
      </c>
      <c r="G88" s="20">
        <f>C88+F88</f>
        <v/>
      </c>
      <c r="H88" s="19">
        <f>G88*B88*$B$9</f>
        <v/>
      </c>
      <c r="I88" s="19">
        <f>G88*B88</f>
        <v/>
      </c>
    </row>
    <row r="89">
      <c r="A89" s="15" t="n">
        <v>63</v>
      </c>
      <c r="B89" s="16">
        <f>B88*(1+($B$10/12))</f>
        <v/>
      </c>
      <c r="C89" s="17">
        <f>G88</f>
        <v/>
      </c>
      <c r="D89" s="16">
        <f>$B$7</f>
        <v/>
      </c>
      <c r="E89" s="16">
        <f>C89*B89*$B$9</f>
        <v/>
      </c>
      <c r="F89" s="17">
        <f>IF($B$12="SIM", INT((D89+E89)/B89), INT(D89/B89))</f>
        <v/>
      </c>
      <c r="G89" s="17">
        <f>C89+F89</f>
        <v/>
      </c>
      <c r="H89" s="16">
        <f>G89*B89*$B$9</f>
        <v/>
      </c>
      <c r="I89" s="16">
        <f>G89*B89</f>
        <v/>
      </c>
    </row>
    <row r="90">
      <c r="A90" s="18" t="n">
        <v>64</v>
      </c>
      <c r="B90" s="19">
        <f>B89*(1+($B$10/12))</f>
        <v/>
      </c>
      <c r="C90" s="20">
        <f>G89</f>
        <v/>
      </c>
      <c r="D90" s="19">
        <f>$B$7</f>
        <v/>
      </c>
      <c r="E90" s="19">
        <f>C90*B90*$B$9</f>
        <v/>
      </c>
      <c r="F90" s="20">
        <f>IF($B$12="SIM", INT((D90+E90)/B90), INT(D90/B90))</f>
        <v/>
      </c>
      <c r="G90" s="20">
        <f>C90+F90</f>
        <v/>
      </c>
      <c r="H90" s="19">
        <f>G90*B90*$B$9</f>
        <v/>
      </c>
      <c r="I90" s="19">
        <f>G90*B90</f>
        <v/>
      </c>
    </row>
    <row r="91">
      <c r="A91" s="15" t="n">
        <v>65</v>
      </c>
      <c r="B91" s="16">
        <f>B90*(1+($B$10/12))</f>
        <v/>
      </c>
      <c r="C91" s="17">
        <f>G90</f>
        <v/>
      </c>
      <c r="D91" s="16">
        <f>$B$7</f>
        <v/>
      </c>
      <c r="E91" s="16">
        <f>C91*B91*$B$9</f>
        <v/>
      </c>
      <c r="F91" s="17">
        <f>IF($B$12="SIM", INT((D91+E91)/B91), INT(D91/B91))</f>
        <v/>
      </c>
      <c r="G91" s="17">
        <f>C91+F91</f>
        <v/>
      </c>
      <c r="H91" s="16">
        <f>G91*B91*$B$9</f>
        <v/>
      </c>
      <c r="I91" s="16">
        <f>G91*B91</f>
        <v/>
      </c>
    </row>
    <row r="92">
      <c r="A92" s="18" t="n">
        <v>66</v>
      </c>
      <c r="B92" s="19">
        <f>B91*(1+($B$10/12))</f>
        <v/>
      </c>
      <c r="C92" s="20">
        <f>G91</f>
        <v/>
      </c>
      <c r="D92" s="19">
        <f>$B$7</f>
        <v/>
      </c>
      <c r="E92" s="19">
        <f>C92*B92*$B$9</f>
        <v/>
      </c>
      <c r="F92" s="20">
        <f>IF($B$12="SIM", INT((D92+E92)/B92), INT(D92/B92))</f>
        <v/>
      </c>
      <c r="G92" s="20">
        <f>C92+F92</f>
        <v/>
      </c>
      <c r="H92" s="19">
        <f>G92*B92*$B$9</f>
        <v/>
      </c>
      <c r="I92" s="19">
        <f>G92*B92</f>
        <v/>
      </c>
    </row>
    <row r="93">
      <c r="A93" s="15" t="n">
        <v>67</v>
      </c>
      <c r="B93" s="16">
        <f>B92*(1+($B$10/12))</f>
        <v/>
      </c>
      <c r="C93" s="17">
        <f>G92</f>
        <v/>
      </c>
      <c r="D93" s="16">
        <f>$B$7</f>
        <v/>
      </c>
      <c r="E93" s="16">
        <f>C93*B93*$B$9</f>
        <v/>
      </c>
      <c r="F93" s="17">
        <f>IF($B$12="SIM", INT((D93+E93)/B93), INT(D93/B93))</f>
        <v/>
      </c>
      <c r="G93" s="17">
        <f>C93+F93</f>
        <v/>
      </c>
      <c r="H93" s="16">
        <f>G93*B93*$B$9</f>
        <v/>
      </c>
      <c r="I93" s="16">
        <f>G93*B93</f>
        <v/>
      </c>
    </row>
    <row r="94">
      <c r="A94" s="18" t="n">
        <v>68</v>
      </c>
      <c r="B94" s="19">
        <f>B93*(1+($B$10/12))</f>
        <v/>
      </c>
      <c r="C94" s="20">
        <f>G93</f>
        <v/>
      </c>
      <c r="D94" s="19">
        <f>$B$7</f>
        <v/>
      </c>
      <c r="E94" s="19">
        <f>C94*B94*$B$9</f>
        <v/>
      </c>
      <c r="F94" s="20">
        <f>IF($B$12="SIM", INT((D94+E94)/B94), INT(D94/B94))</f>
        <v/>
      </c>
      <c r="G94" s="20">
        <f>C94+F94</f>
        <v/>
      </c>
      <c r="H94" s="19">
        <f>G94*B94*$B$9</f>
        <v/>
      </c>
      <c r="I94" s="19">
        <f>G94*B94</f>
        <v/>
      </c>
    </row>
    <row r="95">
      <c r="A95" s="15" t="n">
        <v>69</v>
      </c>
      <c r="B95" s="16">
        <f>B94*(1+($B$10/12))</f>
        <v/>
      </c>
      <c r="C95" s="17">
        <f>G94</f>
        <v/>
      </c>
      <c r="D95" s="16">
        <f>$B$7</f>
        <v/>
      </c>
      <c r="E95" s="16">
        <f>C95*B95*$B$9</f>
        <v/>
      </c>
      <c r="F95" s="17">
        <f>IF($B$12="SIM", INT((D95+E95)/B95), INT(D95/B95))</f>
        <v/>
      </c>
      <c r="G95" s="17">
        <f>C95+F95</f>
        <v/>
      </c>
      <c r="H95" s="16">
        <f>G95*B95*$B$9</f>
        <v/>
      </c>
      <c r="I95" s="16">
        <f>G95*B95</f>
        <v/>
      </c>
    </row>
    <row r="96">
      <c r="A96" s="18" t="n">
        <v>70</v>
      </c>
      <c r="B96" s="19">
        <f>B95*(1+($B$10/12))</f>
        <v/>
      </c>
      <c r="C96" s="20">
        <f>G95</f>
        <v/>
      </c>
      <c r="D96" s="19">
        <f>$B$7</f>
        <v/>
      </c>
      <c r="E96" s="19">
        <f>C96*B96*$B$9</f>
        <v/>
      </c>
      <c r="F96" s="20">
        <f>IF($B$12="SIM", INT((D96+E96)/B96), INT(D96/B96))</f>
        <v/>
      </c>
      <c r="G96" s="20">
        <f>C96+F96</f>
        <v/>
      </c>
      <c r="H96" s="19">
        <f>G96*B96*$B$9</f>
        <v/>
      </c>
      <c r="I96" s="19">
        <f>G96*B96</f>
        <v/>
      </c>
    </row>
    <row r="97">
      <c r="A97" s="15" t="n">
        <v>71</v>
      </c>
      <c r="B97" s="16">
        <f>B96*(1+($B$10/12))</f>
        <v/>
      </c>
      <c r="C97" s="17">
        <f>G96</f>
        <v/>
      </c>
      <c r="D97" s="16">
        <f>$B$7</f>
        <v/>
      </c>
      <c r="E97" s="16">
        <f>C97*B97*$B$9</f>
        <v/>
      </c>
      <c r="F97" s="17">
        <f>IF($B$12="SIM", INT((D97+E97)/B97), INT(D97/B97))</f>
        <v/>
      </c>
      <c r="G97" s="17">
        <f>C97+F97</f>
        <v/>
      </c>
      <c r="H97" s="16">
        <f>G97*B97*$B$9</f>
        <v/>
      </c>
      <c r="I97" s="16">
        <f>G97*B97</f>
        <v/>
      </c>
    </row>
    <row r="98">
      <c r="A98" s="18" t="n">
        <v>72</v>
      </c>
      <c r="B98" s="19">
        <f>B97*(1+($B$10/12))</f>
        <v/>
      </c>
      <c r="C98" s="20">
        <f>G97</f>
        <v/>
      </c>
      <c r="D98" s="19">
        <f>$B$7</f>
        <v/>
      </c>
      <c r="E98" s="19">
        <f>C98*B98*$B$9</f>
        <v/>
      </c>
      <c r="F98" s="20">
        <f>IF($B$12="SIM", INT((D98+E98)/B98), INT(D98/B98))</f>
        <v/>
      </c>
      <c r="G98" s="20">
        <f>C98+F98</f>
        <v/>
      </c>
      <c r="H98" s="19">
        <f>G98*B98*$B$9</f>
        <v/>
      </c>
      <c r="I98" s="19">
        <f>G98*B98</f>
        <v/>
      </c>
    </row>
    <row r="99">
      <c r="A99" s="15" t="n">
        <v>73</v>
      </c>
      <c r="B99" s="16">
        <f>B98*(1+($B$10/12))</f>
        <v/>
      </c>
      <c r="C99" s="17">
        <f>G98</f>
        <v/>
      </c>
      <c r="D99" s="16">
        <f>$B$7</f>
        <v/>
      </c>
      <c r="E99" s="16">
        <f>C99*B99*$B$9</f>
        <v/>
      </c>
      <c r="F99" s="17">
        <f>IF($B$12="SIM", INT((D99+E99)/B99), INT(D99/B99))</f>
        <v/>
      </c>
      <c r="G99" s="17">
        <f>C99+F99</f>
        <v/>
      </c>
      <c r="H99" s="16">
        <f>G99*B99*$B$9</f>
        <v/>
      </c>
      <c r="I99" s="16">
        <f>G99*B99</f>
        <v/>
      </c>
    </row>
    <row r="100">
      <c r="A100" s="18" t="n">
        <v>74</v>
      </c>
      <c r="B100" s="19">
        <f>B99*(1+($B$10/12))</f>
        <v/>
      </c>
      <c r="C100" s="20">
        <f>G99</f>
        <v/>
      </c>
      <c r="D100" s="19">
        <f>$B$7</f>
        <v/>
      </c>
      <c r="E100" s="19">
        <f>C100*B100*$B$9</f>
        <v/>
      </c>
      <c r="F100" s="20">
        <f>IF($B$12="SIM", INT((D100+E100)/B100), INT(D100/B100))</f>
        <v/>
      </c>
      <c r="G100" s="20">
        <f>C100+F100</f>
        <v/>
      </c>
      <c r="H100" s="19">
        <f>G100*B100*$B$9</f>
        <v/>
      </c>
      <c r="I100" s="19">
        <f>G100*B100</f>
        <v/>
      </c>
    </row>
    <row r="101">
      <c r="A101" s="15" t="n">
        <v>75</v>
      </c>
      <c r="B101" s="16">
        <f>B100*(1+($B$10/12))</f>
        <v/>
      </c>
      <c r="C101" s="17">
        <f>G100</f>
        <v/>
      </c>
      <c r="D101" s="16">
        <f>$B$7</f>
        <v/>
      </c>
      <c r="E101" s="16">
        <f>C101*B101*$B$9</f>
        <v/>
      </c>
      <c r="F101" s="17">
        <f>IF($B$12="SIM", INT((D101+E101)/B101), INT(D101/B101))</f>
        <v/>
      </c>
      <c r="G101" s="17">
        <f>C101+F101</f>
        <v/>
      </c>
      <c r="H101" s="16">
        <f>G101*B101*$B$9</f>
        <v/>
      </c>
      <c r="I101" s="16">
        <f>G101*B101</f>
        <v/>
      </c>
    </row>
    <row r="102">
      <c r="A102" s="18" t="n">
        <v>76</v>
      </c>
      <c r="B102" s="19">
        <f>B101*(1+($B$10/12))</f>
        <v/>
      </c>
      <c r="C102" s="20">
        <f>G101</f>
        <v/>
      </c>
      <c r="D102" s="19">
        <f>$B$7</f>
        <v/>
      </c>
      <c r="E102" s="19">
        <f>C102*B102*$B$9</f>
        <v/>
      </c>
      <c r="F102" s="20">
        <f>IF($B$12="SIM", INT((D102+E102)/B102), INT(D102/B102))</f>
        <v/>
      </c>
      <c r="G102" s="20">
        <f>C102+F102</f>
        <v/>
      </c>
      <c r="H102" s="19">
        <f>G102*B102*$B$9</f>
        <v/>
      </c>
      <c r="I102" s="19">
        <f>G102*B102</f>
        <v/>
      </c>
    </row>
    <row r="103">
      <c r="A103" s="15" t="n">
        <v>77</v>
      </c>
      <c r="B103" s="16">
        <f>B102*(1+($B$10/12))</f>
        <v/>
      </c>
      <c r="C103" s="17">
        <f>G102</f>
        <v/>
      </c>
      <c r="D103" s="16">
        <f>$B$7</f>
        <v/>
      </c>
      <c r="E103" s="16">
        <f>C103*B103*$B$9</f>
        <v/>
      </c>
      <c r="F103" s="17">
        <f>IF($B$12="SIM", INT((D103+E103)/B103), INT(D103/B103))</f>
        <v/>
      </c>
      <c r="G103" s="17">
        <f>C103+F103</f>
        <v/>
      </c>
      <c r="H103" s="16">
        <f>G103*B103*$B$9</f>
        <v/>
      </c>
      <c r="I103" s="16">
        <f>G103*B103</f>
        <v/>
      </c>
    </row>
    <row r="104">
      <c r="A104" s="18" t="n">
        <v>78</v>
      </c>
      <c r="B104" s="19">
        <f>B103*(1+($B$10/12))</f>
        <v/>
      </c>
      <c r="C104" s="20">
        <f>G103</f>
        <v/>
      </c>
      <c r="D104" s="19">
        <f>$B$7</f>
        <v/>
      </c>
      <c r="E104" s="19">
        <f>C104*B104*$B$9</f>
        <v/>
      </c>
      <c r="F104" s="20">
        <f>IF($B$12="SIM", INT((D104+E104)/B104), INT(D104/B104))</f>
        <v/>
      </c>
      <c r="G104" s="20">
        <f>C104+F104</f>
        <v/>
      </c>
      <c r="H104" s="19">
        <f>G104*B104*$B$9</f>
        <v/>
      </c>
      <c r="I104" s="19">
        <f>G104*B104</f>
        <v/>
      </c>
    </row>
    <row r="105">
      <c r="A105" s="15" t="n">
        <v>79</v>
      </c>
      <c r="B105" s="16">
        <f>B104*(1+($B$10/12))</f>
        <v/>
      </c>
      <c r="C105" s="17">
        <f>G104</f>
        <v/>
      </c>
      <c r="D105" s="16">
        <f>$B$7</f>
        <v/>
      </c>
      <c r="E105" s="16">
        <f>C105*B105*$B$9</f>
        <v/>
      </c>
      <c r="F105" s="17">
        <f>IF($B$12="SIM", INT((D105+E105)/B105), INT(D105/B105))</f>
        <v/>
      </c>
      <c r="G105" s="17">
        <f>C105+F105</f>
        <v/>
      </c>
      <c r="H105" s="16">
        <f>G105*B105*$B$9</f>
        <v/>
      </c>
      <c r="I105" s="16">
        <f>G105*B105</f>
        <v/>
      </c>
    </row>
    <row r="106">
      <c r="A106" s="18" t="n">
        <v>80</v>
      </c>
      <c r="B106" s="19">
        <f>B105*(1+($B$10/12))</f>
        <v/>
      </c>
      <c r="C106" s="20">
        <f>G105</f>
        <v/>
      </c>
      <c r="D106" s="19">
        <f>$B$7</f>
        <v/>
      </c>
      <c r="E106" s="19">
        <f>C106*B106*$B$9</f>
        <v/>
      </c>
      <c r="F106" s="20">
        <f>IF($B$12="SIM", INT((D106+E106)/B106), INT(D106/B106))</f>
        <v/>
      </c>
      <c r="G106" s="20">
        <f>C106+F106</f>
        <v/>
      </c>
      <c r="H106" s="19">
        <f>G106*B106*$B$9</f>
        <v/>
      </c>
      <c r="I106" s="19">
        <f>G106*B106</f>
        <v/>
      </c>
    </row>
    <row r="107">
      <c r="A107" s="15" t="n">
        <v>81</v>
      </c>
      <c r="B107" s="16">
        <f>B106*(1+($B$10/12))</f>
        <v/>
      </c>
      <c r="C107" s="17">
        <f>G106</f>
        <v/>
      </c>
      <c r="D107" s="16">
        <f>$B$7</f>
        <v/>
      </c>
      <c r="E107" s="16">
        <f>C107*B107*$B$9</f>
        <v/>
      </c>
      <c r="F107" s="17">
        <f>IF($B$12="SIM", INT((D107+E107)/B107), INT(D107/B107))</f>
        <v/>
      </c>
      <c r="G107" s="17">
        <f>C107+F107</f>
        <v/>
      </c>
      <c r="H107" s="16">
        <f>G107*B107*$B$9</f>
        <v/>
      </c>
      <c r="I107" s="16">
        <f>G107*B107</f>
        <v/>
      </c>
    </row>
    <row r="108">
      <c r="A108" s="18" t="n">
        <v>82</v>
      </c>
      <c r="B108" s="19">
        <f>B107*(1+($B$10/12))</f>
        <v/>
      </c>
      <c r="C108" s="20">
        <f>G107</f>
        <v/>
      </c>
      <c r="D108" s="19">
        <f>$B$7</f>
        <v/>
      </c>
      <c r="E108" s="19">
        <f>C108*B108*$B$9</f>
        <v/>
      </c>
      <c r="F108" s="20">
        <f>IF($B$12="SIM", INT((D108+E108)/B108), INT(D108/B108))</f>
        <v/>
      </c>
      <c r="G108" s="20">
        <f>C108+F108</f>
        <v/>
      </c>
      <c r="H108" s="19">
        <f>G108*B108*$B$9</f>
        <v/>
      </c>
      <c r="I108" s="19">
        <f>G108*B108</f>
        <v/>
      </c>
    </row>
    <row r="109">
      <c r="A109" s="15" t="n">
        <v>83</v>
      </c>
      <c r="B109" s="16">
        <f>B108*(1+($B$10/12))</f>
        <v/>
      </c>
      <c r="C109" s="17">
        <f>G108</f>
        <v/>
      </c>
      <c r="D109" s="16">
        <f>$B$7</f>
        <v/>
      </c>
      <c r="E109" s="16">
        <f>C109*B109*$B$9</f>
        <v/>
      </c>
      <c r="F109" s="17">
        <f>IF($B$12="SIM", INT((D109+E109)/B109), INT(D109/B109))</f>
        <v/>
      </c>
      <c r="G109" s="17">
        <f>C109+F109</f>
        <v/>
      </c>
      <c r="H109" s="16">
        <f>G109*B109*$B$9</f>
        <v/>
      </c>
      <c r="I109" s="16">
        <f>G109*B109</f>
        <v/>
      </c>
    </row>
    <row r="110">
      <c r="A110" s="18" t="n">
        <v>84</v>
      </c>
      <c r="B110" s="19">
        <f>B109*(1+($B$10/12))</f>
        <v/>
      </c>
      <c r="C110" s="20">
        <f>G109</f>
        <v/>
      </c>
      <c r="D110" s="19">
        <f>$B$7</f>
        <v/>
      </c>
      <c r="E110" s="19">
        <f>C110*B110*$B$9</f>
        <v/>
      </c>
      <c r="F110" s="20">
        <f>IF($B$12="SIM", INT((D110+E110)/B110), INT(D110/B110))</f>
        <v/>
      </c>
      <c r="G110" s="20">
        <f>C110+F110</f>
        <v/>
      </c>
      <c r="H110" s="19">
        <f>G110*B110*$B$9</f>
        <v/>
      </c>
      <c r="I110" s="19">
        <f>G110*B110</f>
        <v/>
      </c>
    </row>
    <row r="111">
      <c r="A111" s="15" t="n">
        <v>85</v>
      </c>
      <c r="B111" s="16">
        <f>B110*(1+($B$10/12))</f>
        <v/>
      </c>
      <c r="C111" s="17">
        <f>G110</f>
        <v/>
      </c>
      <c r="D111" s="16">
        <f>$B$7</f>
        <v/>
      </c>
      <c r="E111" s="16">
        <f>C111*B111*$B$9</f>
        <v/>
      </c>
      <c r="F111" s="17">
        <f>IF($B$12="SIM", INT((D111+E111)/B111), INT(D111/B111))</f>
        <v/>
      </c>
      <c r="G111" s="17">
        <f>C111+F111</f>
        <v/>
      </c>
      <c r="H111" s="16">
        <f>G111*B111*$B$9</f>
        <v/>
      </c>
      <c r="I111" s="16">
        <f>G111*B111</f>
        <v/>
      </c>
    </row>
    <row r="112">
      <c r="A112" s="18" t="n">
        <v>86</v>
      </c>
      <c r="B112" s="19">
        <f>B111*(1+($B$10/12))</f>
        <v/>
      </c>
      <c r="C112" s="20">
        <f>G111</f>
        <v/>
      </c>
      <c r="D112" s="19">
        <f>$B$7</f>
        <v/>
      </c>
      <c r="E112" s="19">
        <f>C112*B112*$B$9</f>
        <v/>
      </c>
      <c r="F112" s="20">
        <f>IF($B$12="SIM", INT((D112+E112)/B112), INT(D112/B112))</f>
        <v/>
      </c>
      <c r="G112" s="20">
        <f>C112+F112</f>
        <v/>
      </c>
      <c r="H112" s="19">
        <f>G112*B112*$B$9</f>
        <v/>
      </c>
      <c r="I112" s="19">
        <f>G112*B112</f>
        <v/>
      </c>
    </row>
    <row r="113">
      <c r="A113" s="15" t="n">
        <v>87</v>
      </c>
      <c r="B113" s="16">
        <f>B112*(1+($B$10/12))</f>
        <v/>
      </c>
      <c r="C113" s="17">
        <f>G112</f>
        <v/>
      </c>
      <c r="D113" s="16">
        <f>$B$7</f>
        <v/>
      </c>
      <c r="E113" s="16">
        <f>C113*B113*$B$9</f>
        <v/>
      </c>
      <c r="F113" s="17">
        <f>IF($B$12="SIM", INT((D113+E113)/B113), INT(D113/B113))</f>
        <v/>
      </c>
      <c r="G113" s="17">
        <f>C113+F113</f>
        <v/>
      </c>
      <c r="H113" s="16">
        <f>G113*B113*$B$9</f>
        <v/>
      </c>
      <c r="I113" s="16">
        <f>G113*B113</f>
        <v/>
      </c>
    </row>
    <row r="114">
      <c r="A114" s="18" t="n">
        <v>88</v>
      </c>
      <c r="B114" s="19">
        <f>B113*(1+($B$10/12))</f>
        <v/>
      </c>
      <c r="C114" s="20">
        <f>G113</f>
        <v/>
      </c>
      <c r="D114" s="19">
        <f>$B$7</f>
        <v/>
      </c>
      <c r="E114" s="19">
        <f>C114*B114*$B$9</f>
        <v/>
      </c>
      <c r="F114" s="20">
        <f>IF($B$12="SIM", INT((D114+E114)/B114), INT(D114/B114))</f>
        <v/>
      </c>
      <c r="G114" s="20">
        <f>C114+F114</f>
        <v/>
      </c>
      <c r="H114" s="19">
        <f>G114*B114*$B$9</f>
        <v/>
      </c>
      <c r="I114" s="19">
        <f>G114*B114</f>
        <v/>
      </c>
    </row>
    <row r="115">
      <c r="A115" s="15" t="n">
        <v>89</v>
      </c>
      <c r="B115" s="16">
        <f>B114*(1+($B$10/12))</f>
        <v/>
      </c>
      <c r="C115" s="17">
        <f>G114</f>
        <v/>
      </c>
      <c r="D115" s="16">
        <f>$B$7</f>
        <v/>
      </c>
      <c r="E115" s="16">
        <f>C115*B115*$B$9</f>
        <v/>
      </c>
      <c r="F115" s="17">
        <f>IF($B$12="SIM", INT((D115+E115)/B115), INT(D115/B115))</f>
        <v/>
      </c>
      <c r="G115" s="17">
        <f>C115+F115</f>
        <v/>
      </c>
      <c r="H115" s="16">
        <f>G115*B115*$B$9</f>
        <v/>
      </c>
      <c r="I115" s="16">
        <f>G115*B115</f>
        <v/>
      </c>
    </row>
    <row r="116">
      <c r="A116" s="18" t="n">
        <v>90</v>
      </c>
      <c r="B116" s="19">
        <f>B115*(1+($B$10/12))</f>
        <v/>
      </c>
      <c r="C116" s="20">
        <f>G115</f>
        <v/>
      </c>
      <c r="D116" s="19">
        <f>$B$7</f>
        <v/>
      </c>
      <c r="E116" s="19">
        <f>C116*B116*$B$9</f>
        <v/>
      </c>
      <c r="F116" s="20">
        <f>IF($B$12="SIM", INT((D116+E116)/B116), INT(D116/B116))</f>
        <v/>
      </c>
      <c r="G116" s="20">
        <f>C116+F116</f>
        <v/>
      </c>
      <c r="H116" s="19">
        <f>G116*B116*$B$9</f>
        <v/>
      </c>
      <c r="I116" s="19">
        <f>G116*B116</f>
        <v/>
      </c>
    </row>
    <row r="117">
      <c r="A117" s="15" t="n">
        <v>91</v>
      </c>
      <c r="B117" s="16">
        <f>B116*(1+($B$10/12))</f>
        <v/>
      </c>
      <c r="C117" s="17">
        <f>G116</f>
        <v/>
      </c>
      <c r="D117" s="16">
        <f>$B$7</f>
        <v/>
      </c>
      <c r="E117" s="16">
        <f>C117*B117*$B$9</f>
        <v/>
      </c>
      <c r="F117" s="17">
        <f>IF($B$12="SIM", INT((D117+E117)/B117), INT(D117/B117))</f>
        <v/>
      </c>
      <c r="G117" s="17">
        <f>C117+F117</f>
        <v/>
      </c>
      <c r="H117" s="16">
        <f>G117*B117*$B$9</f>
        <v/>
      </c>
      <c r="I117" s="16">
        <f>G117*B117</f>
        <v/>
      </c>
    </row>
    <row r="118">
      <c r="A118" s="18" t="n">
        <v>92</v>
      </c>
      <c r="B118" s="19">
        <f>B117*(1+($B$10/12))</f>
        <v/>
      </c>
      <c r="C118" s="20">
        <f>G117</f>
        <v/>
      </c>
      <c r="D118" s="19">
        <f>$B$7</f>
        <v/>
      </c>
      <c r="E118" s="19">
        <f>C118*B118*$B$9</f>
        <v/>
      </c>
      <c r="F118" s="20">
        <f>IF($B$12="SIM", INT((D118+E118)/B118), INT(D118/B118))</f>
        <v/>
      </c>
      <c r="G118" s="20">
        <f>C118+F118</f>
        <v/>
      </c>
      <c r="H118" s="19">
        <f>G118*B118*$B$9</f>
        <v/>
      </c>
      <c r="I118" s="19">
        <f>G118*B118</f>
        <v/>
      </c>
    </row>
    <row r="119">
      <c r="A119" s="15" t="n">
        <v>93</v>
      </c>
      <c r="B119" s="16">
        <f>B118*(1+($B$10/12))</f>
        <v/>
      </c>
      <c r="C119" s="17">
        <f>G118</f>
        <v/>
      </c>
      <c r="D119" s="16">
        <f>$B$7</f>
        <v/>
      </c>
      <c r="E119" s="16">
        <f>C119*B119*$B$9</f>
        <v/>
      </c>
      <c r="F119" s="17">
        <f>IF($B$12="SIM", INT((D119+E119)/B119), INT(D119/B119))</f>
        <v/>
      </c>
      <c r="G119" s="17">
        <f>C119+F119</f>
        <v/>
      </c>
      <c r="H119" s="16">
        <f>G119*B119*$B$9</f>
        <v/>
      </c>
      <c r="I119" s="16">
        <f>G119*B119</f>
        <v/>
      </c>
    </row>
    <row r="120">
      <c r="A120" s="18" t="n">
        <v>94</v>
      </c>
      <c r="B120" s="19">
        <f>B119*(1+($B$10/12))</f>
        <v/>
      </c>
      <c r="C120" s="20">
        <f>G119</f>
        <v/>
      </c>
      <c r="D120" s="19">
        <f>$B$7</f>
        <v/>
      </c>
      <c r="E120" s="19">
        <f>C120*B120*$B$9</f>
        <v/>
      </c>
      <c r="F120" s="20">
        <f>IF($B$12="SIM", INT((D120+E120)/B120), INT(D120/B120))</f>
        <v/>
      </c>
      <c r="G120" s="20">
        <f>C120+F120</f>
        <v/>
      </c>
      <c r="H120" s="19">
        <f>G120*B120*$B$9</f>
        <v/>
      </c>
      <c r="I120" s="19">
        <f>G120*B120</f>
        <v/>
      </c>
    </row>
    <row r="121">
      <c r="A121" s="15" t="n">
        <v>95</v>
      </c>
      <c r="B121" s="16">
        <f>B120*(1+($B$10/12))</f>
        <v/>
      </c>
      <c r="C121" s="17">
        <f>G120</f>
        <v/>
      </c>
      <c r="D121" s="16">
        <f>$B$7</f>
        <v/>
      </c>
      <c r="E121" s="16">
        <f>C121*B121*$B$9</f>
        <v/>
      </c>
      <c r="F121" s="17">
        <f>IF($B$12="SIM", INT((D121+E121)/B121), INT(D121/B121))</f>
        <v/>
      </c>
      <c r="G121" s="17">
        <f>C121+F121</f>
        <v/>
      </c>
      <c r="H121" s="16">
        <f>G121*B121*$B$9</f>
        <v/>
      </c>
      <c r="I121" s="16">
        <f>G121*B121</f>
        <v/>
      </c>
    </row>
    <row r="122">
      <c r="A122" s="18" t="n">
        <v>96</v>
      </c>
      <c r="B122" s="19">
        <f>B121*(1+($B$10/12))</f>
        <v/>
      </c>
      <c r="C122" s="20">
        <f>G121</f>
        <v/>
      </c>
      <c r="D122" s="19">
        <f>$B$7</f>
        <v/>
      </c>
      <c r="E122" s="19">
        <f>C122*B122*$B$9</f>
        <v/>
      </c>
      <c r="F122" s="20">
        <f>IF($B$12="SIM", INT((D122+E122)/B122), INT(D122/B122))</f>
        <v/>
      </c>
      <c r="G122" s="20">
        <f>C122+F122</f>
        <v/>
      </c>
      <c r="H122" s="19">
        <f>G122*B122*$B$9</f>
        <v/>
      </c>
      <c r="I122" s="19">
        <f>G122*B122</f>
        <v/>
      </c>
    </row>
    <row r="123">
      <c r="A123" s="15" t="n">
        <v>97</v>
      </c>
      <c r="B123" s="16">
        <f>B122*(1+($B$10/12))</f>
        <v/>
      </c>
      <c r="C123" s="17">
        <f>G122</f>
        <v/>
      </c>
      <c r="D123" s="16">
        <f>$B$7</f>
        <v/>
      </c>
      <c r="E123" s="16">
        <f>C123*B123*$B$9</f>
        <v/>
      </c>
      <c r="F123" s="17">
        <f>IF($B$12="SIM", INT((D123+E123)/B123), INT(D123/B123))</f>
        <v/>
      </c>
      <c r="G123" s="17">
        <f>C123+F123</f>
        <v/>
      </c>
      <c r="H123" s="16">
        <f>G123*B123*$B$9</f>
        <v/>
      </c>
      <c r="I123" s="16">
        <f>G123*B123</f>
        <v/>
      </c>
    </row>
    <row r="124">
      <c r="A124" s="18" t="n">
        <v>98</v>
      </c>
      <c r="B124" s="19">
        <f>B123*(1+($B$10/12))</f>
        <v/>
      </c>
      <c r="C124" s="20">
        <f>G123</f>
        <v/>
      </c>
      <c r="D124" s="19">
        <f>$B$7</f>
        <v/>
      </c>
      <c r="E124" s="19">
        <f>C124*B124*$B$9</f>
        <v/>
      </c>
      <c r="F124" s="20">
        <f>IF($B$12="SIM", INT((D124+E124)/B124), INT(D124/B124))</f>
        <v/>
      </c>
      <c r="G124" s="20">
        <f>C124+F124</f>
        <v/>
      </c>
      <c r="H124" s="19">
        <f>G124*B124*$B$9</f>
        <v/>
      </c>
      <c r="I124" s="19">
        <f>G124*B124</f>
        <v/>
      </c>
    </row>
    <row r="125">
      <c r="A125" s="15" t="n">
        <v>99</v>
      </c>
      <c r="B125" s="16">
        <f>B124*(1+($B$10/12))</f>
        <v/>
      </c>
      <c r="C125" s="17">
        <f>G124</f>
        <v/>
      </c>
      <c r="D125" s="16">
        <f>$B$7</f>
        <v/>
      </c>
      <c r="E125" s="16">
        <f>C125*B125*$B$9</f>
        <v/>
      </c>
      <c r="F125" s="17">
        <f>IF($B$12="SIM", INT((D125+E125)/B125), INT(D125/B125))</f>
        <v/>
      </c>
      <c r="G125" s="17">
        <f>C125+F125</f>
        <v/>
      </c>
      <c r="H125" s="16">
        <f>G125*B125*$B$9</f>
        <v/>
      </c>
      <c r="I125" s="16">
        <f>G125*B125</f>
        <v/>
      </c>
    </row>
    <row r="126">
      <c r="A126" s="18" t="n">
        <v>100</v>
      </c>
      <c r="B126" s="19">
        <f>B125*(1+($B$10/12))</f>
        <v/>
      </c>
      <c r="C126" s="20">
        <f>G125</f>
        <v/>
      </c>
      <c r="D126" s="19">
        <f>$B$7</f>
        <v/>
      </c>
      <c r="E126" s="19">
        <f>C126*B126*$B$9</f>
        <v/>
      </c>
      <c r="F126" s="20">
        <f>IF($B$12="SIM", INT((D126+E126)/B126), INT(D126/B126))</f>
        <v/>
      </c>
      <c r="G126" s="20">
        <f>C126+F126</f>
        <v/>
      </c>
      <c r="H126" s="19">
        <f>G126*B126*$B$9</f>
        <v/>
      </c>
      <c r="I126" s="19">
        <f>G126*B126</f>
        <v/>
      </c>
    </row>
    <row r="127">
      <c r="A127" s="15" t="n">
        <v>101</v>
      </c>
      <c r="B127" s="16">
        <f>B126*(1+($B$10/12))</f>
        <v/>
      </c>
      <c r="C127" s="17">
        <f>G126</f>
        <v/>
      </c>
      <c r="D127" s="16">
        <f>$B$7</f>
        <v/>
      </c>
      <c r="E127" s="16">
        <f>C127*B127*$B$9</f>
        <v/>
      </c>
      <c r="F127" s="17">
        <f>IF($B$12="SIM", INT((D127+E127)/B127), INT(D127/B127))</f>
        <v/>
      </c>
      <c r="G127" s="17">
        <f>C127+F127</f>
        <v/>
      </c>
      <c r="H127" s="16">
        <f>G127*B127*$B$9</f>
        <v/>
      </c>
      <c r="I127" s="16">
        <f>G127*B127</f>
        <v/>
      </c>
    </row>
    <row r="128">
      <c r="A128" s="18" t="n">
        <v>102</v>
      </c>
      <c r="B128" s="19">
        <f>B127*(1+($B$10/12))</f>
        <v/>
      </c>
      <c r="C128" s="20">
        <f>G127</f>
        <v/>
      </c>
      <c r="D128" s="19">
        <f>$B$7</f>
        <v/>
      </c>
      <c r="E128" s="19">
        <f>C128*B128*$B$9</f>
        <v/>
      </c>
      <c r="F128" s="20">
        <f>IF($B$12="SIM", INT((D128+E128)/B128), INT(D128/B128))</f>
        <v/>
      </c>
      <c r="G128" s="20">
        <f>C128+F128</f>
        <v/>
      </c>
      <c r="H128" s="19">
        <f>G128*B128*$B$9</f>
        <v/>
      </c>
      <c r="I128" s="19">
        <f>G128*B128</f>
        <v/>
      </c>
    </row>
    <row r="129">
      <c r="A129" s="15" t="n">
        <v>103</v>
      </c>
      <c r="B129" s="16">
        <f>B128*(1+($B$10/12))</f>
        <v/>
      </c>
      <c r="C129" s="17">
        <f>G128</f>
        <v/>
      </c>
      <c r="D129" s="16">
        <f>$B$7</f>
        <v/>
      </c>
      <c r="E129" s="16">
        <f>C129*B129*$B$9</f>
        <v/>
      </c>
      <c r="F129" s="17">
        <f>IF($B$12="SIM", INT((D129+E129)/B129), INT(D129/B129))</f>
        <v/>
      </c>
      <c r="G129" s="17">
        <f>C129+F129</f>
        <v/>
      </c>
      <c r="H129" s="16">
        <f>G129*B129*$B$9</f>
        <v/>
      </c>
      <c r="I129" s="16">
        <f>G129*B129</f>
        <v/>
      </c>
    </row>
    <row r="130">
      <c r="A130" s="18" t="n">
        <v>104</v>
      </c>
      <c r="B130" s="19">
        <f>B129*(1+($B$10/12))</f>
        <v/>
      </c>
      <c r="C130" s="20">
        <f>G129</f>
        <v/>
      </c>
      <c r="D130" s="19">
        <f>$B$7</f>
        <v/>
      </c>
      <c r="E130" s="19">
        <f>C130*B130*$B$9</f>
        <v/>
      </c>
      <c r="F130" s="20">
        <f>IF($B$12="SIM", INT((D130+E130)/B130), INT(D130/B130))</f>
        <v/>
      </c>
      <c r="G130" s="20">
        <f>C130+F130</f>
        <v/>
      </c>
      <c r="H130" s="19">
        <f>G130*B130*$B$9</f>
        <v/>
      </c>
      <c r="I130" s="19">
        <f>G130*B130</f>
        <v/>
      </c>
    </row>
    <row r="131">
      <c r="A131" s="15" t="n">
        <v>105</v>
      </c>
      <c r="B131" s="16">
        <f>B130*(1+($B$10/12))</f>
        <v/>
      </c>
      <c r="C131" s="17">
        <f>G130</f>
        <v/>
      </c>
      <c r="D131" s="16">
        <f>$B$7</f>
        <v/>
      </c>
      <c r="E131" s="16">
        <f>C131*B131*$B$9</f>
        <v/>
      </c>
      <c r="F131" s="17">
        <f>IF($B$12="SIM", INT((D131+E131)/B131), INT(D131/B131))</f>
        <v/>
      </c>
      <c r="G131" s="17">
        <f>C131+F131</f>
        <v/>
      </c>
      <c r="H131" s="16">
        <f>G131*B131*$B$9</f>
        <v/>
      </c>
      <c r="I131" s="16">
        <f>G131*B131</f>
        <v/>
      </c>
    </row>
    <row r="132">
      <c r="A132" s="18" t="n">
        <v>106</v>
      </c>
      <c r="B132" s="19">
        <f>B131*(1+($B$10/12))</f>
        <v/>
      </c>
      <c r="C132" s="20">
        <f>G131</f>
        <v/>
      </c>
      <c r="D132" s="19">
        <f>$B$7</f>
        <v/>
      </c>
      <c r="E132" s="19">
        <f>C132*B132*$B$9</f>
        <v/>
      </c>
      <c r="F132" s="20">
        <f>IF($B$12="SIM", INT((D132+E132)/B132), INT(D132/B132))</f>
        <v/>
      </c>
      <c r="G132" s="20">
        <f>C132+F132</f>
        <v/>
      </c>
      <c r="H132" s="19">
        <f>G132*B132*$B$9</f>
        <v/>
      </c>
      <c r="I132" s="19">
        <f>G132*B132</f>
        <v/>
      </c>
    </row>
    <row r="133">
      <c r="A133" s="15" t="n">
        <v>107</v>
      </c>
      <c r="B133" s="16">
        <f>B132*(1+($B$10/12))</f>
        <v/>
      </c>
      <c r="C133" s="17">
        <f>G132</f>
        <v/>
      </c>
      <c r="D133" s="16">
        <f>$B$7</f>
        <v/>
      </c>
      <c r="E133" s="16">
        <f>C133*B133*$B$9</f>
        <v/>
      </c>
      <c r="F133" s="17">
        <f>IF($B$12="SIM", INT((D133+E133)/B133), INT(D133/B133))</f>
        <v/>
      </c>
      <c r="G133" s="17">
        <f>C133+F133</f>
        <v/>
      </c>
      <c r="H133" s="16">
        <f>G133*B133*$B$9</f>
        <v/>
      </c>
      <c r="I133" s="16">
        <f>G133*B133</f>
        <v/>
      </c>
    </row>
    <row r="134">
      <c r="A134" s="18" t="n">
        <v>108</v>
      </c>
      <c r="B134" s="19">
        <f>B133*(1+($B$10/12))</f>
        <v/>
      </c>
      <c r="C134" s="20">
        <f>G133</f>
        <v/>
      </c>
      <c r="D134" s="19">
        <f>$B$7</f>
        <v/>
      </c>
      <c r="E134" s="19">
        <f>C134*B134*$B$9</f>
        <v/>
      </c>
      <c r="F134" s="20">
        <f>IF($B$12="SIM", INT((D134+E134)/B134), INT(D134/B134))</f>
        <v/>
      </c>
      <c r="G134" s="20">
        <f>C134+F134</f>
        <v/>
      </c>
      <c r="H134" s="19">
        <f>G134*B134*$B$9</f>
        <v/>
      </c>
      <c r="I134" s="19">
        <f>G134*B134</f>
        <v/>
      </c>
    </row>
    <row r="135">
      <c r="A135" s="15" t="n">
        <v>109</v>
      </c>
      <c r="B135" s="16">
        <f>B134*(1+($B$10/12))</f>
        <v/>
      </c>
      <c r="C135" s="17">
        <f>G134</f>
        <v/>
      </c>
      <c r="D135" s="16">
        <f>$B$7</f>
        <v/>
      </c>
      <c r="E135" s="16">
        <f>C135*B135*$B$9</f>
        <v/>
      </c>
      <c r="F135" s="17">
        <f>IF($B$12="SIM", INT((D135+E135)/B135), INT(D135/B135))</f>
        <v/>
      </c>
      <c r="G135" s="17">
        <f>C135+F135</f>
        <v/>
      </c>
      <c r="H135" s="16">
        <f>G135*B135*$B$9</f>
        <v/>
      </c>
      <c r="I135" s="16">
        <f>G135*B135</f>
        <v/>
      </c>
    </row>
    <row r="136">
      <c r="A136" s="18" t="n">
        <v>110</v>
      </c>
      <c r="B136" s="19">
        <f>B135*(1+($B$10/12))</f>
        <v/>
      </c>
      <c r="C136" s="20">
        <f>G135</f>
        <v/>
      </c>
      <c r="D136" s="19">
        <f>$B$7</f>
        <v/>
      </c>
      <c r="E136" s="19">
        <f>C136*B136*$B$9</f>
        <v/>
      </c>
      <c r="F136" s="20">
        <f>IF($B$12="SIM", INT((D136+E136)/B136), INT(D136/B136))</f>
        <v/>
      </c>
      <c r="G136" s="20">
        <f>C136+F136</f>
        <v/>
      </c>
      <c r="H136" s="19">
        <f>G136*B136*$B$9</f>
        <v/>
      </c>
      <c r="I136" s="19">
        <f>G136*B136</f>
        <v/>
      </c>
    </row>
    <row r="137">
      <c r="A137" s="15" t="n">
        <v>111</v>
      </c>
      <c r="B137" s="16">
        <f>B136*(1+($B$10/12))</f>
        <v/>
      </c>
      <c r="C137" s="17">
        <f>G136</f>
        <v/>
      </c>
      <c r="D137" s="16">
        <f>$B$7</f>
        <v/>
      </c>
      <c r="E137" s="16">
        <f>C137*B137*$B$9</f>
        <v/>
      </c>
      <c r="F137" s="17">
        <f>IF($B$12="SIM", INT((D137+E137)/B137), INT(D137/B137))</f>
        <v/>
      </c>
      <c r="G137" s="17">
        <f>C137+F137</f>
        <v/>
      </c>
      <c r="H137" s="16">
        <f>G137*B137*$B$9</f>
        <v/>
      </c>
      <c r="I137" s="16">
        <f>G137*B137</f>
        <v/>
      </c>
    </row>
    <row r="138">
      <c r="A138" s="18" t="n">
        <v>112</v>
      </c>
      <c r="B138" s="19">
        <f>B137*(1+($B$10/12))</f>
        <v/>
      </c>
      <c r="C138" s="20">
        <f>G137</f>
        <v/>
      </c>
      <c r="D138" s="19">
        <f>$B$7</f>
        <v/>
      </c>
      <c r="E138" s="19">
        <f>C138*B138*$B$9</f>
        <v/>
      </c>
      <c r="F138" s="20">
        <f>IF($B$12="SIM", INT((D138+E138)/B138), INT(D138/B138))</f>
        <v/>
      </c>
      <c r="G138" s="20">
        <f>C138+F138</f>
        <v/>
      </c>
      <c r="H138" s="19">
        <f>G138*B138*$B$9</f>
        <v/>
      </c>
      <c r="I138" s="19">
        <f>G138*B138</f>
        <v/>
      </c>
    </row>
    <row r="139">
      <c r="A139" s="15" t="n">
        <v>113</v>
      </c>
      <c r="B139" s="16">
        <f>B138*(1+($B$10/12))</f>
        <v/>
      </c>
      <c r="C139" s="17">
        <f>G138</f>
        <v/>
      </c>
      <c r="D139" s="16">
        <f>$B$7</f>
        <v/>
      </c>
      <c r="E139" s="16">
        <f>C139*B139*$B$9</f>
        <v/>
      </c>
      <c r="F139" s="17">
        <f>IF($B$12="SIM", INT((D139+E139)/B139), INT(D139/B139))</f>
        <v/>
      </c>
      <c r="G139" s="17">
        <f>C139+F139</f>
        <v/>
      </c>
      <c r="H139" s="16">
        <f>G139*B139*$B$9</f>
        <v/>
      </c>
      <c r="I139" s="16">
        <f>G139*B139</f>
        <v/>
      </c>
    </row>
    <row r="140">
      <c r="A140" s="18" t="n">
        <v>114</v>
      </c>
      <c r="B140" s="19">
        <f>B139*(1+($B$10/12))</f>
        <v/>
      </c>
      <c r="C140" s="20">
        <f>G139</f>
        <v/>
      </c>
      <c r="D140" s="19">
        <f>$B$7</f>
        <v/>
      </c>
      <c r="E140" s="19">
        <f>C140*B140*$B$9</f>
        <v/>
      </c>
      <c r="F140" s="20">
        <f>IF($B$12="SIM", INT((D140+E140)/B140), INT(D140/B140))</f>
        <v/>
      </c>
      <c r="G140" s="20">
        <f>C140+F140</f>
        <v/>
      </c>
      <c r="H140" s="19">
        <f>G140*B140*$B$9</f>
        <v/>
      </c>
      <c r="I140" s="19">
        <f>G140*B140</f>
        <v/>
      </c>
    </row>
    <row r="141">
      <c r="A141" s="15" t="n">
        <v>115</v>
      </c>
      <c r="B141" s="16">
        <f>B140*(1+($B$10/12))</f>
        <v/>
      </c>
      <c r="C141" s="17">
        <f>G140</f>
        <v/>
      </c>
      <c r="D141" s="16">
        <f>$B$7</f>
        <v/>
      </c>
      <c r="E141" s="16">
        <f>C141*B141*$B$9</f>
        <v/>
      </c>
      <c r="F141" s="17">
        <f>IF($B$12="SIM", INT((D141+E141)/B141), INT(D141/B141))</f>
        <v/>
      </c>
      <c r="G141" s="17">
        <f>C141+F141</f>
        <v/>
      </c>
      <c r="H141" s="16">
        <f>G141*B141*$B$9</f>
        <v/>
      </c>
      <c r="I141" s="16">
        <f>G141*B141</f>
        <v/>
      </c>
    </row>
    <row r="142">
      <c r="A142" s="18" t="n">
        <v>116</v>
      </c>
      <c r="B142" s="19">
        <f>B141*(1+($B$10/12))</f>
        <v/>
      </c>
      <c r="C142" s="20">
        <f>G141</f>
        <v/>
      </c>
      <c r="D142" s="19">
        <f>$B$7</f>
        <v/>
      </c>
      <c r="E142" s="19">
        <f>C142*B142*$B$9</f>
        <v/>
      </c>
      <c r="F142" s="20">
        <f>IF($B$12="SIM", INT((D142+E142)/B142), INT(D142/B142))</f>
        <v/>
      </c>
      <c r="G142" s="20">
        <f>C142+F142</f>
        <v/>
      </c>
      <c r="H142" s="19">
        <f>G142*B142*$B$9</f>
        <v/>
      </c>
      <c r="I142" s="19">
        <f>G142*B142</f>
        <v/>
      </c>
    </row>
    <row r="143">
      <c r="A143" s="15" t="n">
        <v>117</v>
      </c>
      <c r="B143" s="16">
        <f>B142*(1+($B$10/12))</f>
        <v/>
      </c>
      <c r="C143" s="17">
        <f>G142</f>
        <v/>
      </c>
      <c r="D143" s="16">
        <f>$B$7</f>
        <v/>
      </c>
      <c r="E143" s="16">
        <f>C143*B143*$B$9</f>
        <v/>
      </c>
      <c r="F143" s="17">
        <f>IF($B$12="SIM", INT((D143+E143)/B143), INT(D143/B143))</f>
        <v/>
      </c>
      <c r="G143" s="17">
        <f>C143+F143</f>
        <v/>
      </c>
      <c r="H143" s="16">
        <f>G143*B143*$B$9</f>
        <v/>
      </c>
      <c r="I143" s="16">
        <f>G143*B143</f>
        <v/>
      </c>
    </row>
    <row r="144">
      <c r="A144" s="18" t="n">
        <v>118</v>
      </c>
      <c r="B144" s="19">
        <f>B143*(1+($B$10/12))</f>
        <v/>
      </c>
      <c r="C144" s="20">
        <f>G143</f>
        <v/>
      </c>
      <c r="D144" s="19">
        <f>$B$7</f>
        <v/>
      </c>
      <c r="E144" s="19">
        <f>C144*B144*$B$9</f>
        <v/>
      </c>
      <c r="F144" s="20">
        <f>IF($B$12="SIM", INT((D144+E144)/B144), INT(D144/B144))</f>
        <v/>
      </c>
      <c r="G144" s="20">
        <f>C144+F144</f>
        <v/>
      </c>
      <c r="H144" s="19">
        <f>G144*B144*$B$9</f>
        <v/>
      </c>
      <c r="I144" s="19">
        <f>G144*B144</f>
        <v/>
      </c>
    </row>
    <row r="145">
      <c r="A145" s="15" t="n">
        <v>119</v>
      </c>
      <c r="B145" s="16">
        <f>B144*(1+($B$10/12))</f>
        <v/>
      </c>
      <c r="C145" s="17">
        <f>G144</f>
        <v/>
      </c>
      <c r="D145" s="16">
        <f>$B$7</f>
        <v/>
      </c>
      <c r="E145" s="16">
        <f>C145*B145*$B$9</f>
        <v/>
      </c>
      <c r="F145" s="17">
        <f>IF($B$12="SIM", INT((D145+E145)/B145), INT(D145/B145))</f>
        <v/>
      </c>
      <c r="G145" s="17">
        <f>C145+F145</f>
        <v/>
      </c>
      <c r="H145" s="16">
        <f>G145*B145*$B$9</f>
        <v/>
      </c>
      <c r="I145" s="16">
        <f>G145*B145</f>
        <v/>
      </c>
    </row>
    <row r="146">
      <c r="A146" s="18" t="n">
        <v>120</v>
      </c>
      <c r="B146" s="19">
        <f>B145*(1+($B$10/12))</f>
        <v/>
      </c>
      <c r="C146" s="20">
        <f>G145</f>
        <v/>
      </c>
      <c r="D146" s="19">
        <f>$B$7</f>
        <v/>
      </c>
      <c r="E146" s="19">
        <f>C146*B146*$B$9</f>
        <v/>
      </c>
      <c r="F146" s="20">
        <f>IF($B$12="SIM", INT((D146+E146)/B146), INT(D146/B146))</f>
        <v/>
      </c>
      <c r="G146" s="20">
        <f>C146+F146</f>
        <v/>
      </c>
      <c r="H146" s="19">
        <f>G146*B146*$B$9</f>
        <v/>
      </c>
      <c r="I146" s="19">
        <f>G146*B146</f>
        <v/>
      </c>
    </row>
  </sheetData>
  <mergeCells count="11">
    <mergeCell ref="E5:K5"/>
    <mergeCell ref="E6:F6"/>
    <mergeCell ref="I6:J6"/>
    <mergeCell ref="A3:K3"/>
    <mergeCell ref="A5:C5"/>
    <mergeCell ref="E7:F7"/>
    <mergeCell ref="G7:H7"/>
    <mergeCell ref="I7:J7"/>
    <mergeCell ref="E9:K10"/>
    <mergeCell ref="G6:H6"/>
    <mergeCell ref="A1:K2"/>
  </mergeCells>
  <dataValidations count="1">
    <dataValidation sqref="B12" showDropDown="0" showInputMessage="0" showErrorMessage="0" allowBlank="0" type="list">
      <formula1>"SIM,NÃO"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2026-09-15T17:26:02Z</dcterms:created>
  <dcterms:modified xmlns:dcterms="http://purl.org/dc/terms/" xmlns:xsi="http://www.w3.org/2001/XMLSchema-instance" xsi:type="dcterms:W3CDTF">2026-09-15T17:26:02Z</dcterms:modified>
</cp:coreProperties>
</file>